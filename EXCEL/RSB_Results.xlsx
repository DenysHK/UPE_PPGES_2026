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15" yWindow="1320" windowWidth="25140" windowHeight="12450" tabRatio="935" firstSheet="1" activeTab="5" autoFilterDateGrouping="1"/>
  </bookViews>
  <sheets>
    <sheet xmlns:r="http://schemas.openxmlformats.org/officeDocument/2006/relationships" name="TEMPERATURA (14)" sheetId="1" state="visible" r:id="rId1"/>
    <sheet xmlns:r="http://schemas.openxmlformats.org/officeDocument/2006/relationships" name="101325 Pa (28)" sheetId="2" state="visible" r:id="rId2"/>
    <sheet xmlns:r="http://schemas.openxmlformats.org/officeDocument/2006/relationships" name="506625 Pa (22)" sheetId="3" state="visible" r:id="rId3"/>
    <sheet xmlns:r="http://schemas.openxmlformats.org/officeDocument/2006/relationships" name="1013250 Pa (21)" sheetId="4" state="visible" r:id="rId4"/>
    <sheet xmlns:r="http://schemas.openxmlformats.org/officeDocument/2006/relationships" name="1519875 Pa (21)" sheetId="5" state="visible" r:id="rId5"/>
    <sheet xmlns:r="http://schemas.openxmlformats.org/officeDocument/2006/relationships" name="101325 Pa EXP (49)" sheetId="6" state="visible" r:id="rId6"/>
    <sheet xmlns:r="http://schemas.openxmlformats.org/officeDocument/2006/relationships" name="101325 Pa EXP Para acopla (12)" sheetId="7" state="visible" r:id="rId7"/>
    <sheet xmlns:r="http://schemas.openxmlformats.org/officeDocument/2006/relationships" name="SEIS ESCOLHIDOS" sheetId="8" state="visible" r:id="rId8"/>
  </sheets>
  <definedNames>
    <definedName name="_xlnm.Print_Area" localSheetId="0">'TEMPERATURA (14)'!$A$1:$Q$38</definedName>
    <definedName name="_xlnm.Print_Area" localSheetId="4">'1519875 Pa (21)'!$A$1:$AA$32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00000000"/>
    <numFmt numFmtId="165" formatCode="0.00000"/>
    <numFmt numFmtId="166" formatCode="0.0000000"/>
    <numFmt numFmtId="167" formatCode="0.000000000000"/>
    <numFmt numFmtId="168" formatCode="0.00000000"/>
    <numFmt numFmtId="169" formatCode="0.000000000"/>
  </numFmts>
  <fonts count="33"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theme="10"/>
      <sz val="10"/>
    </font>
    <font>
      <name val="Arial"/>
      <family val="2"/>
      <b val="1"/>
      <color rgb="FF0000EE"/>
      <sz val="10"/>
    </font>
    <font>
      <name val="Arial"/>
      <family val="2"/>
      <b val="1"/>
      <color rgb="FF0000FF"/>
      <sz val="10"/>
    </font>
    <font>
      <name val="Arial"/>
      <family val="2"/>
      <sz val="10"/>
      <vertAlign val="subscript"/>
    </font>
    <font>
      <name val="Arial"/>
      <family val="2"/>
      <color rgb="FF000000"/>
      <sz val="10"/>
    </font>
    <font>
      <name val="Times New Roman"/>
      <family val="1"/>
      <sz val="10"/>
    </font>
    <font>
      <name val="Times New Roman"/>
      <family val="1"/>
      <color rgb="FF000000"/>
      <sz val="10"/>
    </font>
    <font>
      <name val="Times New Roman"/>
      <family val="1"/>
      <color rgb="FFFF0000"/>
      <sz val="10"/>
    </font>
    <font>
      <name val="Arial"/>
      <family val="2"/>
      <color rgb="FFFF0000"/>
      <sz val="10"/>
    </font>
    <font>
      <name val="Google Sans Text"/>
      <color rgb="FF303030"/>
      <sz val="7"/>
    </font>
    <font>
      <name val="Google Sans Text"/>
      <b val="1"/>
      <color rgb="FF303030"/>
      <sz val="7"/>
    </font>
    <font>
      <name val="Google Sans Text"/>
      <b val="1"/>
      <color rgb="FF303030"/>
      <sz val="8"/>
    </font>
    <font>
      <name val="Arial"/>
      <family val="2"/>
      <sz val="10"/>
      <scheme val="minor"/>
    </font>
    <font>
      <name val="Arial"/>
      <family val="2"/>
      <b val="1"/>
      <color theme="10"/>
      <sz val="10"/>
      <scheme val="minor"/>
    </font>
    <font>
      <name val="Arial"/>
      <family val="2"/>
      <color theme="1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9"/>
    </font>
    <font>
      <name val="Arial"/>
      <family val="2"/>
      <color rgb="FFFF0000"/>
      <sz val="18"/>
    </font>
    <font>
      <name val="Arial"/>
      <family val="2"/>
      <color theme="8" tint="-0.499984740745262"/>
      <sz val="10"/>
    </font>
    <font>
      <name val="Arial"/>
      <family val="2"/>
      <b val="1"/>
      <color rgb="FFFF0000"/>
      <sz val="18"/>
    </font>
    <font>
      <name val="Arial"/>
      <family val="2"/>
      <b val="1"/>
      <color theme="8" tint="-0.499984740745262"/>
      <sz val="10"/>
    </font>
    <font>
      <name val="Arial"/>
      <family val="2"/>
      <strike val="1"/>
      <sz val="10"/>
    </font>
    <font>
      <name val="Arial"/>
      <family val="2"/>
      <b val="1"/>
      <color theme="7"/>
      <sz val="12"/>
    </font>
    <font>
      <name val="Arial"/>
      <family val="2"/>
      <b val="1"/>
      <color theme="7"/>
      <sz val="12"/>
      <vertAlign val="subscript"/>
    </font>
    <font>
      <name val="Arial"/>
      <family val="2"/>
      <b val="1"/>
      <color theme="7"/>
      <sz val="10"/>
    </font>
    <font>
      <name val="Arial"/>
      <family val="2"/>
      <b val="1"/>
      <color theme="9" tint="0.3999755851924192"/>
      <sz val="12"/>
    </font>
    <font>
      <name val="Arial"/>
      <family val="2"/>
      <b val="1"/>
      <color theme="9" tint="0.3999755851924192"/>
      <sz val="10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11" fontId="7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/>
    </xf>
    <xf numFmtId="0" fontId="0" fillId="0" borderId="1" pivotButton="0" quotePrefix="0" xfId="0"/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7" fillId="0" borderId="0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/>
    </xf>
    <xf numFmtId="2" fontId="7" fillId="0" borderId="0" applyAlignment="1" pivotButton="0" quotePrefix="0" xfId="0">
      <alignment wrapText="1"/>
    </xf>
    <xf numFmtId="2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1" fontId="8" fillId="0" borderId="0" applyAlignment="1" pivotButton="0" quotePrefix="0" xfId="0">
      <alignment wrapText="1"/>
    </xf>
    <xf numFmtId="164" fontId="6" fillId="0" borderId="0" pivotButton="0" quotePrefix="0" xfId="0"/>
    <xf numFmtId="0" fontId="8" fillId="0" borderId="0" applyAlignment="1" pivotButton="0" quotePrefix="0" xfId="0">
      <alignment wrapText="1"/>
    </xf>
    <xf numFmtId="164" fontId="9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164" fontId="8" fillId="0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1" fontId="9" fillId="0" borderId="0" applyAlignment="1" pivotButton="0" quotePrefix="0" xfId="0">
      <alignment wrapText="1"/>
    </xf>
    <xf numFmtId="164" fontId="10" fillId="0" borderId="0" pivotButton="0" quotePrefix="0" xfId="0"/>
    <xf numFmtId="0" fontId="10" fillId="0" borderId="0" pivotButton="0" quotePrefix="0" xfId="0"/>
    <xf numFmtId="0" fontId="1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  <xf numFmtId="0" fontId="13" fillId="0" borderId="0" pivotButton="0" quotePrefix="0" xfId="0"/>
    <xf numFmtId="165" fontId="0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11" fontId="0" fillId="0" borderId="0" applyAlignment="1" pivotButton="0" quotePrefix="0" xfId="0">
      <alignment vertical="center" wrapText="1"/>
    </xf>
    <xf numFmtId="164" fontId="7" fillId="4" borderId="0" applyAlignment="1" pivotButton="0" quotePrefix="0" xfId="0">
      <alignment wrapText="1"/>
    </xf>
    <xf numFmtId="164" fontId="0" fillId="4" borderId="0" pivotButton="0" quotePrefix="0" xfId="0"/>
    <xf numFmtId="166" fontId="14" fillId="0" borderId="0" applyAlignment="1" pivotButton="0" quotePrefix="0" xfId="0">
      <alignment vertical="center" wrapText="1"/>
    </xf>
    <xf numFmtId="166" fontId="14" fillId="0" borderId="0" pivotButton="0" quotePrefix="0" xfId="0"/>
    <xf numFmtId="167" fontId="0" fillId="0" borderId="0" applyAlignment="1" pivotButton="0" quotePrefix="0" xfId="0">
      <alignment vertical="center" wrapText="1"/>
    </xf>
    <xf numFmtId="167" fontId="14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horizontal="center"/>
    </xf>
    <xf numFmtId="167" fontId="0" fillId="0" borderId="0" pivotButton="0" quotePrefix="0" xfId="0"/>
    <xf numFmtId="167" fontId="7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5" fontId="0" fillId="0" borderId="0" pivotButton="0" quotePrefix="0" xfId="0"/>
    <xf numFmtId="0" fontId="0" fillId="2" borderId="0" applyAlignment="1" pivotButton="0" quotePrefix="0" xfId="0">
      <alignment horizontal="right"/>
    </xf>
    <xf numFmtId="0" fontId="0" fillId="2" borderId="2" applyAlignment="1" pivotButton="0" quotePrefix="0" xfId="0">
      <alignment horizontal="center"/>
    </xf>
    <xf numFmtId="0" fontId="14" fillId="0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4" fontId="16" fillId="0" borderId="0" applyAlignment="1" pivotButton="0" quotePrefix="0" xfId="0">
      <alignment wrapText="1"/>
    </xf>
    <xf numFmtId="164" fontId="14" fillId="0" borderId="0" pivotButton="0" quotePrefix="0" xfId="0"/>
    <xf numFmtId="164" fontId="15" fillId="0" borderId="0" applyAlignment="1" pivotButton="0" quotePrefix="0" xfId="0">
      <alignment horizontal="center"/>
    </xf>
    <xf numFmtId="164" fontId="14" fillId="0" borderId="0" applyAlignment="1" pivotButton="0" quotePrefix="0" xfId="0">
      <alignment wrapText="1"/>
    </xf>
    <xf numFmtId="164" fontId="17" fillId="0" borderId="0" applyAlignment="1" pivotButton="0" quotePrefix="0" xfId="0">
      <alignment wrapText="1"/>
    </xf>
    <xf numFmtId="166" fontId="14" fillId="0" borderId="0" applyAlignment="1" pivotButton="0" quotePrefix="0" xfId="0">
      <alignment vertical="center" wrapText="1"/>
    </xf>
    <xf numFmtId="168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164" fontId="14" fillId="0" borderId="0" applyAlignment="1" pivotButton="0" quotePrefix="0" xfId="0">
      <alignment vertical="center" wrapText="1"/>
    </xf>
    <xf numFmtId="164" fontId="14" fillId="0" borderId="0" applyAlignment="1" pivotButton="0" quotePrefix="0" xfId="0">
      <alignment vertical="center" wrapText="1"/>
    </xf>
    <xf numFmtId="164" fontId="14" fillId="0" borderId="0" applyAlignment="1" pivotButton="0" quotePrefix="0" xfId="0">
      <alignment horizontal="center"/>
    </xf>
    <xf numFmtId="164" fontId="14" fillId="0" borderId="0" applyAlignment="1" pivotButton="0" quotePrefix="0" xfId="0">
      <alignment horizontal="center"/>
    </xf>
    <xf numFmtId="168" fontId="14" fillId="0" borderId="0" applyAlignment="1" pivotButton="0" quotePrefix="0" xfId="0">
      <alignment wrapText="1"/>
    </xf>
    <xf numFmtId="168" fontId="14" fillId="0" borderId="0" pivotButton="0" quotePrefix="0" xfId="0"/>
    <xf numFmtId="168" fontId="14" fillId="0" borderId="0" applyAlignment="1" pivotButton="0" quotePrefix="0" xfId="0">
      <alignment wrapText="1"/>
    </xf>
    <xf numFmtId="168" fontId="14" fillId="0" borderId="0" pivotButton="0" quotePrefix="0" xfId="0"/>
    <xf numFmtId="2" fontId="14" fillId="0" borderId="0" applyAlignment="1" pivotButton="0" quotePrefix="0" xfId="0">
      <alignment wrapText="1"/>
    </xf>
    <xf numFmtId="0" fontId="14" fillId="0" borderId="0" applyAlignment="1" pivotButton="0" quotePrefix="0" xfId="0">
      <alignment wrapText="1"/>
    </xf>
    <xf numFmtId="2" fontId="14" fillId="0" borderId="0" pivotButton="0" quotePrefix="0" xfId="0"/>
    <xf numFmtId="2" fontId="14" fillId="0" borderId="0" applyAlignment="1" pivotButton="0" quotePrefix="0" xfId="0">
      <alignment wrapText="1"/>
    </xf>
    <xf numFmtId="169" fontId="14" fillId="0" borderId="0" pivotButton="0" quotePrefix="0" xfId="0"/>
    <xf numFmtId="169" fontId="14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4" fontId="7" fillId="0" borderId="0" applyAlignment="1" pivotButton="0" quotePrefix="0" xfId="0">
      <alignment vertical="center" wrapText="1"/>
    </xf>
    <xf numFmtId="11" fontId="7" fillId="0" borderId="0" applyAlignment="1" pivotButton="0" quotePrefix="0" xfId="0">
      <alignment wrapText="1"/>
    </xf>
    <xf numFmtId="164" fontId="0" fillId="0" borderId="0" pivotButton="0" quotePrefix="0" xfId="0"/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right"/>
    </xf>
    <xf numFmtId="165" fontId="19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2" fillId="0" borderId="0" pivotButton="0" quotePrefix="0" xfId="0"/>
    <xf numFmtId="0" fontId="24" fillId="0" borderId="0" pivotButton="0" quotePrefix="0" xfId="0"/>
    <xf numFmtId="0" fontId="26" fillId="0" borderId="0" applyAlignment="1" pivotButton="0" quotePrefix="0" xfId="0">
      <alignment horizontal="left"/>
    </xf>
    <xf numFmtId="0" fontId="28" fillId="0" borderId="0" pivotButton="0" quotePrefix="0" xfId="0"/>
    <xf numFmtId="0" fontId="29" fillId="0" borderId="0" applyAlignment="1" pivotButton="0" quotePrefix="0" xfId="0">
      <alignment horizontal="left"/>
    </xf>
    <xf numFmtId="0" fontId="30" fillId="0" borderId="0" pivotButton="0" quotePrefix="0" xfId="0"/>
    <xf numFmtId="164" fontId="15" fillId="0" borderId="0" applyAlignment="1" pivotButton="0" quotePrefix="0" xfId="0">
      <alignment horizontal="center"/>
    </xf>
    <xf numFmtId="164" fontId="16" fillId="0" borderId="0" applyAlignment="1" pivotButton="0" quotePrefix="0" xfId="0">
      <alignment wrapText="1"/>
    </xf>
    <xf numFmtId="164" fontId="14" fillId="0" borderId="0" pivotButton="0" quotePrefix="0" xfId="0"/>
    <xf numFmtId="164" fontId="14" fillId="0" borderId="0" applyAlignment="1" pivotButton="0" quotePrefix="0" xfId="0">
      <alignment wrapText="1"/>
    </xf>
    <xf numFmtId="164" fontId="17" fillId="0" borderId="0" applyAlignment="1" pivotButton="0" quotePrefix="0" xfId="0">
      <alignment wrapText="1"/>
    </xf>
    <xf numFmtId="166" fontId="14" fillId="0" borderId="0" applyAlignment="1" pivotButton="0" quotePrefix="0" xfId="0">
      <alignment vertical="center" wrapText="1"/>
    </xf>
    <xf numFmtId="168" fontId="14" fillId="0" borderId="0" applyAlignment="1" pivotButton="0" quotePrefix="0" xfId="0">
      <alignment vertical="center" wrapText="1"/>
    </xf>
    <xf numFmtId="164" fontId="14" fillId="0" borderId="0" applyAlignment="1" pivotButton="0" quotePrefix="0" xfId="0">
      <alignment vertical="center" wrapText="1"/>
    </xf>
    <xf numFmtId="164" fontId="14" fillId="0" borderId="0" applyAlignment="1" pivotButton="0" quotePrefix="0" xfId="0">
      <alignment horizontal="center"/>
    </xf>
    <xf numFmtId="168" fontId="14" fillId="0" borderId="0" applyAlignment="1" pivotButton="0" quotePrefix="0" xfId="0">
      <alignment wrapText="1"/>
    </xf>
    <xf numFmtId="168" fontId="14" fillId="0" borderId="0" pivotButton="0" quotePrefix="0" xfId="0"/>
    <xf numFmtId="169" fontId="14" fillId="0" borderId="0" pivotButton="0" quotePrefix="0" xfId="0"/>
    <xf numFmtId="164" fontId="7" fillId="0" borderId="0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4" fontId="0" fillId="0" borderId="0" pivotButton="0" quotePrefix="0" xfId="0"/>
    <xf numFmtId="164" fontId="7" fillId="0" borderId="0" applyAlignment="1" pivotButton="0" quotePrefix="0" xfId="0">
      <alignment vertical="center" wrapText="1"/>
    </xf>
    <xf numFmtId="164" fontId="6" fillId="0" borderId="0" pivotButton="0" quotePrefix="0" xfId="0"/>
    <xf numFmtId="164" fontId="9" fillId="0" borderId="0" applyAlignment="1" pivotButton="0" quotePrefix="0" xfId="0">
      <alignment wrapText="1"/>
    </xf>
    <xf numFmtId="164" fontId="8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4" fontId="10" fillId="0" borderId="0" pivotButton="0" quotePrefix="0" xfId="0"/>
    <xf numFmtId="164" fontId="2" fillId="0" borderId="0" applyAlignment="1" pivotButton="0" quotePrefix="0" xfId="0">
      <alignment horizontal="center"/>
    </xf>
    <xf numFmtId="166" fontId="14" fillId="0" borderId="0" pivotButton="0" quotePrefix="0" xfId="0"/>
    <xf numFmtId="164" fontId="7" fillId="4" borderId="0" applyAlignment="1" pivotButton="0" quotePrefix="0" xfId="0">
      <alignment wrapText="1"/>
    </xf>
    <xf numFmtId="164" fontId="0" fillId="4" borderId="0" pivotButton="0" quotePrefix="0" xfId="0"/>
    <xf numFmtId="165" fontId="0" fillId="0" borderId="0" pivotButton="0" quotePrefix="0" xfId="0"/>
    <xf numFmtId="165" fontId="0" fillId="2" borderId="0" pivotButton="0" quotePrefix="0" xfId="0"/>
    <xf numFmtId="168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65" fontId="19" fillId="0" borderId="0" pivotButton="0" quotePrefix="0" xfId="0"/>
    <xf numFmtId="167" fontId="14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horizontal="center"/>
    </xf>
    <xf numFmtId="167" fontId="0" fillId="0" borderId="0" pivotButton="0" quotePrefix="0" xfId="0"/>
    <xf numFmtId="167" fontId="7" fillId="0" borderId="0" applyAlignment="1" pivotButton="0" quotePrefix="0" xfId="0">
      <alignment wrapText="1"/>
    </xf>
    <xf numFmtId="0" fontId="31" fillId="5" borderId="0" applyAlignment="1" pivotButton="0" quotePrefix="0" xfId="0">
      <alignment horizontal="center"/>
    </xf>
    <xf numFmtId="0" fontId="32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2" fillId="7" borderId="4" applyAlignment="1" pivotButton="0" quotePrefix="0" xfId="0">
      <alignment horizontal="center" wrapText="1"/>
    </xf>
    <xf numFmtId="0" fontId="0" fillId="0" borderId="4" pivotButton="0" quotePrefix="0" xfId="0"/>
    <xf numFmtId="1" fontId="0" fillId="0" borderId="4" pivotButton="0" quotePrefix="0" xfId="0"/>
    <xf numFmtId="165" fontId="0" fillId="0" borderId="4" pivotButton="0" quotePrefix="0" xfId="0"/>
    <xf numFmtId="0" fontId="0" fillId="6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A52A2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3"/>
  <sheetViews>
    <sheetView zoomScale="83" zoomScaleNormal="83" workbookViewId="0">
      <selection activeCell="S11" sqref="S11"/>
    </sheetView>
  </sheetViews>
  <sheetFormatPr baseColWidth="8" defaultColWidth="11.5703125" defaultRowHeight="12.75"/>
  <cols>
    <col width="9" customWidth="1" style="104" min="1" max="1"/>
    <col width="24.42578125" customWidth="1" style="104" min="2" max="2"/>
    <col width="15.5703125" customWidth="1" style="104" min="3" max="6"/>
    <col width="14.85546875" customWidth="1" style="104" min="7" max="7"/>
    <col width="13.42578125" customWidth="1" style="104" min="8" max="8"/>
    <col width="14.140625" customWidth="1" style="104" min="9" max="9"/>
    <col width="15.5703125" customWidth="1" style="104" min="10" max="10"/>
    <col width="15.140625" customWidth="1" style="104" min="11" max="11"/>
    <col width="13.85546875" customWidth="1" style="104" min="12" max="12"/>
    <col width="15.28515625" customWidth="1" style="104" min="13" max="13"/>
    <col width="14.7109375" customWidth="1" style="104" min="14" max="14"/>
    <col width="15.7109375" customWidth="1" style="104" min="15" max="17"/>
  </cols>
  <sheetData>
    <row r="1">
      <c r="B1" s="1" t="inlineStr">
        <is>
          <t>basis: MOLAR FLOW</t>
        </is>
      </c>
    </row>
    <row r="2">
      <c r="B2" t="inlineStr">
        <is>
          <t>Wcat_total (kg)=</t>
        </is>
      </c>
    </row>
    <row r="3">
      <c r="B3" t="inlineStr">
        <is>
          <t>Temperatura (K) =</t>
        </is>
      </c>
      <c r="C3" s="71" t="inlineStr">
        <is>
          <t>673 K</t>
        </is>
      </c>
      <c r="D3" s="71" t="inlineStr">
        <is>
          <t>723 K</t>
        </is>
      </c>
      <c r="E3" s="71" t="inlineStr">
        <is>
          <t>773 K</t>
        </is>
      </c>
      <c r="F3" s="71" t="inlineStr">
        <is>
          <t>823 K</t>
        </is>
      </c>
      <c r="G3" s="71" t="inlineStr">
        <is>
          <t>873 K</t>
        </is>
      </c>
      <c r="H3" s="71" t="inlineStr">
        <is>
          <t>923 K</t>
        </is>
      </c>
      <c r="I3" s="71" t="inlineStr">
        <is>
          <t>973 K</t>
        </is>
      </c>
      <c r="J3" s="71" t="inlineStr">
        <is>
          <t>1023 K</t>
        </is>
      </c>
      <c r="K3" s="71" t="inlineStr">
        <is>
          <t>1073 K</t>
        </is>
      </c>
      <c r="L3" s="3" t="inlineStr">
        <is>
          <t>1123 K</t>
        </is>
      </c>
      <c r="M3" s="3" t="inlineStr">
        <is>
          <t>1173 K</t>
        </is>
      </c>
      <c r="N3" s="3" t="inlineStr">
        <is>
          <t>1223 K</t>
        </is>
      </c>
      <c r="O3" s="4" t="inlineStr">
        <is>
          <t>1273 K</t>
        </is>
      </c>
      <c r="P3" s="4" t="inlineStr">
        <is>
          <t>1323 K</t>
        </is>
      </c>
      <c r="Q3" s="113" t="n"/>
      <c r="T3" s="113" t="n"/>
      <c r="U3" s="113" t="n"/>
      <c r="V3" s="113" t="n"/>
      <c r="X3" s="113" t="n"/>
      <c r="Y3" s="113" t="n"/>
      <c r="Z3" s="113" t="n"/>
    </row>
    <row r="4">
      <c r="B4" t="inlineStr">
        <is>
          <t>Pressão (Pa) =</t>
        </is>
      </c>
      <c r="C4" t="n">
        <v>101325</v>
      </c>
      <c r="D4" t="n">
        <v>101325</v>
      </c>
      <c r="E4" t="n">
        <v>101325</v>
      </c>
      <c r="F4" t="n">
        <v>101325</v>
      </c>
      <c r="G4" t="n">
        <v>101325</v>
      </c>
      <c r="H4" t="n">
        <v>101325</v>
      </c>
      <c r="I4" t="n">
        <v>101325</v>
      </c>
      <c r="J4" t="n">
        <v>101325</v>
      </c>
      <c r="K4" t="n">
        <v>101325</v>
      </c>
      <c r="L4" t="n">
        <v>101325</v>
      </c>
      <c r="M4" t="n">
        <v>101325</v>
      </c>
      <c r="N4" t="n">
        <v>101325</v>
      </c>
      <c r="O4" t="n">
        <v>101325</v>
      </c>
      <c r="P4" t="n">
        <v>101325</v>
      </c>
      <c r="T4" s="6" t="n"/>
      <c r="U4" s="6" t="n"/>
      <c r="V4" s="6" t="n"/>
      <c r="X4" s="6" t="n"/>
      <c r="Y4" s="6" t="n"/>
      <c r="Z4" s="6" t="n"/>
    </row>
    <row r="5">
      <c r="B5" t="inlineStr">
        <is>
          <t>BIOGAS Flow (mol/s) IN =</t>
        </is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</row>
    <row r="6">
      <c r="B6" t="inlineStr">
        <is>
          <t>Molar Flow (mol/s) OUT =</t>
        </is>
      </c>
    </row>
    <row r="7" ht="9" customHeight="1" s="104"/>
    <row r="8" ht="15.75" customHeight="1" s="104">
      <c r="B8" t="inlineStr">
        <is>
          <t>CH4/CO2 =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T8" s="51" t="n"/>
      <c r="U8" s="51" t="n"/>
      <c r="V8" s="51" t="n"/>
      <c r="X8" s="51" t="n"/>
      <c r="Y8" s="51" t="n"/>
      <c r="Z8" s="51" t="n"/>
    </row>
    <row r="9" ht="15.75" customHeight="1" s="104">
      <c r="B9" t="inlineStr">
        <is>
          <t>CH4 (fração molar) =</t>
        </is>
      </c>
      <c r="C9">
        <f>C8/(1+C8)</f>
        <v/>
      </c>
      <c r="D9">
        <f>D8/(1+D8)</f>
        <v/>
      </c>
      <c r="E9">
        <f>E8/(1+E8)</f>
        <v/>
      </c>
      <c r="F9">
        <f>F8/(1+F8)</f>
        <v/>
      </c>
      <c r="G9">
        <f>G8/(1+G8)</f>
        <v/>
      </c>
      <c r="H9">
        <f>H8/(1+H8)</f>
        <v/>
      </c>
      <c r="I9">
        <f>I8/(1+I8)</f>
        <v/>
      </c>
      <c r="J9">
        <f>J8/(1+J8)</f>
        <v/>
      </c>
      <c r="K9">
        <f>K8/(1+K8)</f>
        <v/>
      </c>
      <c r="L9">
        <f>L8/(1+L8)</f>
        <v/>
      </c>
      <c r="M9">
        <f>M8/(1+M8)</f>
        <v/>
      </c>
      <c r="N9">
        <f>N8/(1+N8)</f>
        <v/>
      </c>
      <c r="O9">
        <f>O8/(1+O8)</f>
        <v/>
      </c>
      <c r="P9">
        <f>P8/(1+P8)</f>
        <v/>
      </c>
    </row>
    <row r="10" ht="15.75" customHeight="1" s="104">
      <c r="B10" t="inlineStr">
        <is>
          <t>CO2 (fração molar) =</t>
        </is>
      </c>
      <c r="C10">
        <f>1/(1+C8)</f>
        <v/>
      </c>
      <c r="D10">
        <f>1/(1+D8)</f>
        <v/>
      </c>
      <c r="E10">
        <f>1/(1+E8)</f>
        <v/>
      </c>
      <c r="F10">
        <f>1/(1+F8)</f>
        <v/>
      </c>
      <c r="G10">
        <f>1/(1+G8)</f>
        <v/>
      </c>
      <c r="H10">
        <f>1/(1+H8)</f>
        <v/>
      </c>
      <c r="I10">
        <f>1/(1+I8)</f>
        <v/>
      </c>
      <c r="J10">
        <f>1/(1+J8)</f>
        <v/>
      </c>
      <c r="K10">
        <f>1/(1+K8)</f>
        <v/>
      </c>
      <c r="L10">
        <f>1/(1+L8)</f>
        <v/>
      </c>
      <c r="M10">
        <f>1/(1+M8)</f>
        <v/>
      </c>
      <c r="N10">
        <f>1/(1+N8)</f>
        <v/>
      </c>
      <c r="O10">
        <f>1/(1+O8)</f>
        <v/>
      </c>
      <c r="P10">
        <f>1/(1+P8)</f>
        <v/>
      </c>
    </row>
    <row r="11" ht="7.5" customHeight="1" s="104">
      <c r="J11" s="110" t="n"/>
      <c r="K11" s="110" t="n"/>
    </row>
    <row r="12">
      <c r="C12" s="113" t="inlineStr">
        <is>
          <t>mol/s</t>
        </is>
      </c>
      <c r="D12" s="113" t="inlineStr">
        <is>
          <t>mol/s</t>
        </is>
      </c>
      <c r="E12" s="113" t="inlineStr">
        <is>
          <t>mol/s</t>
        </is>
      </c>
      <c r="F12" s="113" t="inlineStr">
        <is>
          <t>mol/s</t>
        </is>
      </c>
      <c r="G12" s="113" t="inlineStr">
        <is>
          <t>mol/s</t>
        </is>
      </c>
      <c r="H12" s="113" t="inlineStr">
        <is>
          <t>mol/s</t>
        </is>
      </c>
      <c r="I12" s="113" t="inlineStr">
        <is>
          <t>mol/s</t>
        </is>
      </c>
      <c r="J12" s="113" t="inlineStr">
        <is>
          <t>mol/s</t>
        </is>
      </c>
      <c r="K12" s="113" t="n"/>
      <c r="L12" s="108" t="n"/>
      <c r="M12" s="113" t="n"/>
      <c r="N12" s="113" t="n"/>
      <c r="P12" s="113" t="n"/>
      <c r="Q12" s="113" t="n"/>
      <c r="T12" s="113" t="n"/>
      <c r="U12" s="113" t="n"/>
      <c r="V12" s="113" t="n"/>
      <c r="X12" s="113" t="n"/>
      <c r="Y12" s="113" t="n"/>
      <c r="Z12" s="113" t="n"/>
    </row>
    <row r="13">
      <c r="A13" t="inlineStr">
        <is>
          <t>Temp(K)</t>
        </is>
      </c>
      <c r="C13" s="71" t="inlineStr">
        <is>
          <t>673 K</t>
        </is>
      </c>
      <c r="D13" s="71" t="inlineStr">
        <is>
          <t>723 K</t>
        </is>
      </c>
      <c r="E13" s="71" t="inlineStr">
        <is>
          <t>773 K</t>
        </is>
      </c>
      <c r="F13" s="71" t="inlineStr">
        <is>
          <t>823 K</t>
        </is>
      </c>
      <c r="G13" s="71" t="inlineStr">
        <is>
          <t>873 K</t>
        </is>
      </c>
      <c r="H13" s="71" t="inlineStr">
        <is>
          <t>923 K</t>
        </is>
      </c>
      <c r="I13" s="71" t="inlineStr">
        <is>
          <t>973 K</t>
        </is>
      </c>
      <c r="J13" s="71" t="inlineStr">
        <is>
          <t>1023 K</t>
        </is>
      </c>
      <c r="K13" s="71" t="inlineStr">
        <is>
          <t>1073 K</t>
        </is>
      </c>
      <c r="L13" s="3" t="inlineStr">
        <is>
          <t>1123 K</t>
        </is>
      </c>
      <c r="M13" s="3" t="inlineStr">
        <is>
          <t>1173 K</t>
        </is>
      </c>
      <c r="N13" s="3" t="inlineStr">
        <is>
          <t>1223 K</t>
        </is>
      </c>
      <c r="O13" s="4" t="inlineStr">
        <is>
          <t>1273 K</t>
        </is>
      </c>
      <c r="P13" s="4" t="inlineStr">
        <is>
          <t>1323 K</t>
        </is>
      </c>
      <c r="Q13" s="113" t="n"/>
      <c r="T13" s="113" t="n"/>
      <c r="U13" s="113" t="n"/>
      <c r="V13" s="113" t="n"/>
      <c r="X13" s="113" t="n"/>
      <c r="Y13" s="113" t="n"/>
      <c r="Z13" s="113" t="n"/>
    </row>
    <row r="14" ht="15.75" customHeight="1" s="104">
      <c r="A14" s="11" t="n"/>
      <c r="B14" s="112" t="inlineStr">
        <is>
          <t>CH4 ( mol/s )</t>
        </is>
      </c>
      <c r="C14" s="110" t="n">
        <v>0.004497727</v>
      </c>
      <c r="D14" s="110" t="n">
        <v>0.0037325574</v>
      </c>
      <c r="E14" s="110" t="n">
        <v>0.0023944194</v>
      </c>
      <c r="F14" s="110" t="n">
        <v>0.001146343</v>
      </c>
      <c r="G14" s="110" t="n">
        <v>0.00053949484</v>
      </c>
      <c r="H14" s="110" t="n">
        <v>0.00024817174</v>
      </c>
      <c r="I14" s="110" t="n">
        <v>0.00011262527</v>
      </c>
      <c r="J14" s="108" t="n">
        <v>5.2354132e-05</v>
      </c>
      <c r="K14" s="108" t="n">
        <v>2.4882442e-05</v>
      </c>
      <c r="L14" s="108" t="n">
        <v>1.1525835e-05</v>
      </c>
      <c r="M14" s="108" t="n">
        <v>5.2968461e-06</v>
      </c>
      <c r="N14" s="108" t="n">
        <v>2.7443622e-06</v>
      </c>
      <c r="O14" s="108" t="n">
        <v>1.7351376e-06</v>
      </c>
      <c r="P14" s="108" t="n">
        <v>1.1525835e-05</v>
      </c>
      <c r="Q14" s="108" t="n"/>
      <c r="T14" s="110" t="n"/>
      <c r="U14" s="110" t="n"/>
      <c r="V14" s="108" t="n"/>
      <c r="X14" s="108" t="n"/>
      <c r="Y14" s="108" t="n"/>
      <c r="Z14" s="108" t="n"/>
    </row>
    <row r="15" ht="15.75" customHeight="1" s="104">
      <c r="A15" s="13" t="inlineStr">
        <is>
          <t>P</t>
        </is>
      </c>
      <c r="B15" s="112" t="inlineStr">
        <is>
          <t>CO2 ( mol/s)</t>
        </is>
      </c>
      <c r="C15" s="110" t="n">
        <v>0.0045770313</v>
      </c>
      <c r="D15" s="110" t="n">
        <v>0.0040958098</v>
      </c>
      <c r="E15" s="110" t="n">
        <v>0.0034005918</v>
      </c>
      <c r="F15" s="110" t="n">
        <v>0.002851387</v>
      </c>
      <c r="G15" s="110" t="n">
        <v>0.0025630222</v>
      </c>
      <c r="H15" s="110" t="n">
        <v>0.0022905447</v>
      </c>
      <c r="I15" s="110" t="n">
        <v>0.0019789724</v>
      </c>
      <c r="J15" s="110" t="n">
        <v>0.0016368936</v>
      </c>
      <c r="K15" s="110" t="n">
        <v>0.0012903596</v>
      </c>
      <c r="L15" s="110" t="n">
        <v>0.0010024413</v>
      </c>
      <c r="M15" s="110" t="n">
        <v>0.00082189659</v>
      </c>
      <c r="N15" s="110" t="n">
        <v>0.00072713279</v>
      </c>
      <c r="O15" s="110" t="n">
        <v>0.0006750392299999999</v>
      </c>
      <c r="P15" s="110" t="n">
        <v>0.0010024413</v>
      </c>
      <c r="Q15" s="108" t="n"/>
      <c r="T15" s="110" t="n"/>
      <c r="U15" s="110" t="n"/>
      <c r="V15" s="108" t="n"/>
      <c r="X15" s="108" t="n"/>
      <c r="Y15" s="108" t="n"/>
      <c r="Z15" s="108" t="n"/>
    </row>
    <row r="16">
      <c r="A16" s="13" t="inlineStr">
        <is>
          <t>R</t>
        </is>
      </c>
      <c r="B16" s="112" t="inlineStr">
        <is>
          <t>CO (mol/s)</t>
        </is>
      </c>
      <c r="C16" s="110" t="n">
        <v>0.00026056596</v>
      </c>
      <c r="D16" s="110" t="n">
        <v>0.00045078856</v>
      </c>
      <c r="E16" s="110" t="n">
        <v>0.00069773785</v>
      </c>
      <c r="F16" s="110" t="n">
        <v>0.0010594112</v>
      </c>
      <c r="G16" s="110" t="n">
        <v>0.0016960356</v>
      </c>
      <c r="H16" s="110" t="n">
        <v>0.0025567164</v>
      </c>
      <c r="I16" s="110" t="n">
        <v>0.0035466594</v>
      </c>
      <c r="J16" s="110" t="n">
        <v>0.0046102541</v>
      </c>
      <c r="K16" s="110" t="n">
        <v>0.0056728464</v>
      </c>
      <c r="L16" s="110" t="n">
        <v>0.0065270826</v>
      </c>
      <c r="M16" s="110" t="n">
        <v>0.0070107897</v>
      </c>
      <c r="N16" s="110" t="n">
        <v>0.007193619</v>
      </c>
      <c r="O16" s="110" t="n">
        <v>0.0072221392</v>
      </c>
      <c r="P16" s="110" t="n">
        <v>0.0065270826</v>
      </c>
      <c r="Q16" s="108" t="n"/>
      <c r="T16" s="110" t="n"/>
      <c r="U16" s="110" t="n"/>
      <c r="V16" s="108" t="n"/>
      <c r="X16" s="108" t="n"/>
      <c r="Y16" s="108" t="n"/>
      <c r="Z16" s="108" t="n"/>
    </row>
    <row r="17" ht="15.75" customHeight="1" s="104">
      <c r="A17" s="13" t="inlineStr">
        <is>
          <t>O</t>
        </is>
      </c>
      <c r="B17" s="112" t="inlineStr">
        <is>
          <t>H2O ( mol/s)</t>
        </is>
      </c>
      <c r="C17" s="110" t="n">
        <v>0.00058537157</v>
      </c>
      <c r="D17" s="110" t="n">
        <v>0.001357592</v>
      </c>
      <c r="E17" s="110" t="n">
        <v>0.0025010787</v>
      </c>
      <c r="F17" s="110" t="n">
        <v>0.003237815</v>
      </c>
      <c r="G17" s="110" t="n">
        <v>0.0031779203</v>
      </c>
      <c r="H17" s="110" t="n">
        <v>0.0028621943</v>
      </c>
      <c r="I17" s="110" t="n">
        <v>0.0024953959</v>
      </c>
      <c r="J17" s="110" t="n">
        <v>0.0021159589</v>
      </c>
      <c r="K17" s="110" t="n">
        <v>0.0017464346</v>
      </c>
      <c r="L17" s="110" t="n">
        <v>0.0014680349</v>
      </c>
      <c r="M17" s="110" t="n">
        <v>0.0013454173</v>
      </c>
      <c r="N17" s="110" t="n">
        <v>0.0013521156</v>
      </c>
      <c r="O17" s="110" t="n">
        <v>0.0014277826</v>
      </c>
      <c r="P17" s="110" t="n">
        <v>0.0014680349</v>
      </c>
      <c r="Q17" s="108" t="n"/>
      <c r="T17" s="110" t="n"/>
      <c r="U17" s="110" t="n"/>
      <c r="V17" s="108" t="n"/>
      <c r="X17" s="108" t="n"/>
      <c r="Y17" s="108" t="n"/>
      <c r="Z17" s="108" t="n"/>
    </row>
    <row r="18">
      <c r="A18" s="13" t="inlineStr">
        <is>
          <t>D</t>
        </is>
      </c>
      <c r="B18" s="112" t="inlineStr">
        <is>
          <t>C ( mol/s)</t>
        </is>
      </c>
      <c r="C18" s="110" t="n">
        <v>0.00066467593</v>
      </c>
      <c r="D18" s="110" t="n">
        <v>0.0017208444</v>
      </c>
      <c r="E18" s="110" t="n">
        <v>0.0035072511</v>
      </c>
      <c r="F18" s="110" t="n">
        <v>0.004942859</v>
      </c>
      <c r="G18" s="110" t="n">
        <v>0.0052014476</v>
      </c>
      <c r="H18" s="110" t="n">
        <v>0.0049045673</v>
      </c>
      <c r="I18" s="110" t="n">
        <v>0.0043617431</v>
      </c>
      <c r="J18" s="110" t="n">
        <v>0.0037004984</v>
      </c>
      <c r="K18" s="110" t="n">
        <v>0.0030119117</v>
      </c>
      <c r="L18" s="110" t="n">
        <v>0.0024589504</v>
      </c>
      <c r="M18" s="110" t="n">
        <v>0.0021620171</v>
      </c>
      <c r="N18" s="110" t="n">
        <v>0.0020765041</v>
      </c>
      <c r="O18" s="110" t="n">
        <v>0.0021010867</v>
      </c>
      <c r="P18" s="110" t="n">
        <v>0.0024589504</v>
      </c>
      <c r="Q18" s="108" t="n"/>
      <c r="T18" s="110" t="n"/>
      <c r="U18" s="110" t="n"/>
      <c r="V18" s="108" t="n"/>
      <c r="X18" s="108" t="n"/>
      <c r="Y18" s="108" t="n"/>
      <c r="Z18" s="108" t="n"/>
    </row>
    <row r="19" ht="15.75" customHeight="1" s="104">
      <c r="A19" s="14" t="n"/>
      <c r="B19" s="112" t="inlineStr">
        <is>
          <t>H2 (mol/s)</t>
        </is>
      </c>
      <c r="C19" s="110" t="n">
        <v>0.00041917469</v>
      </c>
      <c r="D19" s="110" t="n">
        <v>0.0011772933</v>
      </c>
      <c r="E19" s="110" t="n">
        <v>0.0027100827</v>
      </c>
      <c r="F19" s="110" t="n">
        <v>0.0044694993</v>
      </c>
      <c r="G19" s="110" t="n">
        <v>0.0057430903</v>
      </c>
      <c r="H19" s="110" t="n">
        <v>0.0066414624</v>
      </c>
      <c r="I19" s="110" t="n">
        <v>0.0072793537</v>
      </c>
      <c r="J19" s="110" t="n">
        <v>0.007779333</v>
      </c>
      <c r="K19" s="110" t="n">
        <v>0.008203800799999999</v>
      </c>
      <c r="L19" s="110" t="n">
        <v>0.008508913599999999</v>
      </c>
      <c r="M19" s="110" t="n">
        <v>0.0086439892</v>
      </c>
      <c r="N19" s="110" t="n">
        <v>0.008642395799999999</v>
      </c>
      <c r="O19" s="110" t="n">
        <v>0.0085687474</v>
      </c>
      <c r="P19" s="110" t="n">
        <v>0.008508913599999999</v>
      </c>
      <c r="Q19" s="110" t="n"/>
      <c r="T19" s="110" t="n"/>
      <c r="U19" s="110" t="n"/>
      <c r="V19" s="110" t="n"/>
      <c r="X19" s="110" t="n"/>
      <c r="Y19" s="110" t="n"/>
      <c r="Z19" s="110" t="n"/>
    </row>
    <row r="20" ht="10.35" customHeight="1" s="104">
      <c r="B20" s="15" t="inlineStr">
        <is>
          <t>Molar Flow (mol/s) OUT =</t>
        </is>
      </c>
      <c r="F20" s="16">
        <f>SUM(F14:F19)</f>
        <v/>
      </c>
      <c r="G20" s="16">
        <f>SUM(G14:G19)</f>
        <v/>
      </c>
      <c r="H20" s="16">
        <f>SUM(H14:H19)</f>
        <v/>
      </c>
      <c r="I20" s="16">
        <f>SUM(I14:I19)</f>
        <v/>
      </c>
      <c r="J20" s="16">
        <f>SUM(J14:J19)</f>
        <v/>
      </c>
      <c r="K20" s="16">
        <f>SUM(K14:K19)</f>
        <v/>
      </c>
      <c r="L20" s="16">
        <f>SUM(L14:L19)</f>
        <v/>
      </c>
      <c r="M20" s="16">
        <f>SUM(M14:M19)</f>
        <v/>
      </c>
      <c r="N20" s="16">
        <f>SUM(N14:N19)</f>
        <v/>
      </c>
      <c r="O20" s="16">
        <f>SUM(O14:O19)</f>
        <v/>
      </c>
      <c r="P20" s="16">
        <f>SUM(P14:P19)</f>
        <v/>
      </c>
      <c r="Q20" s="110" t="n"/>
      <c r="T20" s="110" t="n"/>
      <c r="U20" s="110" t="n"/>
      <c r="V20" s="110" t="n"/>
      <c r="X20" s="110" t="n"/>
      <c r="Y20" s="110" t="n"/>
      <c r="Z20" s="110" t="n"/>
    </row>
    <row r="21" ht="10.35" customHeight="1" s="104">
      <c r="B21" s="15" t="n"/>
      <c r="F21" s="16" t="n"/>
      <c r="G21" s="16" t="n"/>
      <c r="H21" s="16" t="n"/>
      <c r="I21" s="16" t="n"/>
      <c r="J21" s="16" t="n"/>
      <c r="K21" s="110" t="n"/>
      <c r="L21" s="110" t="n"/>
      <c r="M21" s="110" t="n"/>
      <c r="P21" s="110" t="n"/>
      <c r="Q21" s="110" t="n"/>
      <c r="T21" s="110" t="n"/>
      <c r="U21" s="110" t="n"/>
      <c r="V21" s="110" t="n"/>
      <c r="X21" s="110" t="n"/>
      <c r="Y21" s="110" t="n"/>
      <c r="Z21" s="110" t="n"/>
    </row>
    <row r="22">
      <c r="C22" s="113" t="inlineStr">
        <is>
          <t>mol/s</t>
        </is>
      </c>
      <c r="D22" s="113" t="inlineStr">
        <is>
          <t>mol/s</t>
        </is>
      </c>
      <c r="E22" s="113" t="inlineStr">
        <is>
          <t>mol/s</t>
        </is>
      </c>
      <c r="F22" s="113" t="inlineStr">
        <is>
          <t>mol/s</t>
        </is>
      </c>
      <c r="G22" s="113" t="inlineStr">
        <is>
          <t>mol/s</t>
        </is>
      </c>
      <c r="H22" s="113" t="inlineStr">
        <is>
          <t>mol/s</t>
        </is>
      </c>
      <c r="I22" s="113" t="inlineStr">
        <is>
          <t>mol/s</t>
        </is>
      </c>
      <c r="J22" s="113" t="inlineStr">
        <is>
          <t>mol/s</t>
        </is>
      </c>
      <c r="K22" s="110" t="n"/>
      <c r="L22" s="113" t="n"/>
      <c r="M22" s="110" t="n"/>
      <c r="P22" s="110" t="n"/>
      <c r="Q22" s="108" t="n"/>
      <c r="T22" s="110" t="n"/>
      <c r="U22" s="110" t="n"/>
      <c r="V22" s="110" t="n"/>
      <c r="X22" s="110" t="n"/>
      <c r="Y22" s="110" t="n"/>
      <c r="Z22" s="110" t="n"/>
    </row>
    <row r="23">
      <c r="A23" s="11" t="inlineStr">
        <is>
          <t>P</t>
        </is>
      </c>
      <c r="B23" t="inlineStr">
        <is>
          <t>Reaction Coordinate  DRM</t>
        </is>
      </c>
      <c r="C23" s="108" t="n">
        <v>1.62973e-07</v>
      </c>
      <c r="D23" s="108" t="n">
        <v>3.95515e-07</v>
      </c>
      <c r="E23" s="108" t="n">
        <v>8.06454e-07</v>
      </c>
      <c r="F23" s="108" t="n">
        <v>1.31762e-06</v>
      </c>
      <c r="G23" s="108" t="n">
        <v>1.78385e-06</v>
      </c>
      <c r="H23" s="108" t="n">
        <v>2.14959e-06</v>
      </c>
      <c r="I23" s="108" t="n">
        <v>2.35605e-06</v>
      </c>
      <c r="J23" s="108" t="n">
        <v>2.44038e-06</v>
      </c>
      <c r="K23" s="108" t="n">
        <v>2.47456e-06</v>
      </c>
      <c r="L23" s="108" t="n">
        <v>2.48995e-06</v>
      </c>
      <c r="M23" s="108" t="n">
        <v>2.49671e-06</v>
      </c>
      <c r="N23" s="108" t="n">
        <v>2.49986e-06</v>
      </c>
      <c r="O23" s="108" t="n">
        <v>2.50031e-06</v>
      </c>
      <c r="P23" s="108" t="n">
        <v>2.48995e-06</v>
      </c>
      <c r="Q23" s="108" t="n"/>
      <c r="T23" s="110" t="n"/>
      <c r="U23" s="110" t="n"/>
      <c r="V23" s="110" t="n"/>
      <c r="X23" s="110" t="n"/>
      <c r="Y23" s="110" t="n"/>
      <c r="Z23" s="110" t="n"/>
    </row>
    <row r="24">
      <c r="A24" s="13" t="n"/>
      <c r="B24" s="110" t="inlineStr">
        <is>
          <t xml:space="preserve">CH₄ + CO₂ ⇌ 2CO + 2H₂ </t>
        </is>
      </c>
      <c r="C24" s="108" t="n"/>
      <c r="J24" s="110" t="n"/>
      <c r="K24" s="108" t="n"/>
      <c r="P24" s="108" t="n"/>
      <c r="Q24" s="108" t="n"/>
      <c r="T24" s="110" t="n"/>
      <c r="U24" s="110" t="n"/>
      <c r="V24" s="110" t="n"/>
      <c r="X24" s="110" t="n"/>
      <c r="Y24" s="110" t="n"/>
      <c r="Z24" s="110" t="n"/>
    </row>
    <row r="25">
      <c r="A25" s="13" t="inlineStr">
        <is>
          <t>R</t>
        </is>
      </c>
      <c r="C25" s="108" t="n"/>
      <c r="G25" s="113" t="n"/>
      <c r="H25" s="113" t="n"/>
      <c r="I25" s="113" t="n"/>
      <c r="J25" s="110" t="n"/>
      <c r="K25" s="108" t="n"/>
      <c r="P25" s="108" t="n"/>
    </row>
    <row r="26">
      <c r="A26" s="13" t="n"/>
      <c r="B26" t="inlineStr">
        <is>
          <t>Reaction Coordinate RWGS</t>
        </is>
      </c>
      <c r="C26" s="108" t="n">
        <v>4.22969e-07</v>
      </c>
      <c r="D26" s="108" t="n">
        <v>9.0419e-07</v>
      </c>
      <c r="E26" s="108" t="n">
        <v>1.59941e-06</v>
      </c>
      <c r="F26" s="108" t="n">
        <v>2.14861e-06</v>
      </c>
      <c r="G26" s="108" t="n">
        <v>2.43698e-06</v>
      </c>
      <c r="H26" s="108" t="n">
        <v>2.70946e-06</v>
      </c>
      <c r="I26" s="108" t="n">
        <v>3.02103e-06</v>
      </c>
      <c r="J26" s="108" t="n">
        <v>3.36311e-06</v>
      </c>
      <c r="K26" s="108" t="n">
        <v>3.70964e-06</v>
      </c>
      <c r="L26" s="108" t="n">
        <v>3.99756e-06</v>
      </c>
      <c r="M26" s="108" t="n">
        <v>4.1781e-06</v>
      </c>
      <c r="N26" s="108" t="n">
        <v>4.27287e-06</v>
      </c>
      <c r="O26" s="108" t="n">
        <v>4.32496e-06</v>
      </c>
      <c r="P26" s="108" t="n">
        <v>3.99756e-06</v>
      </c>
    </row>
    <row r="27">
      <c r="A27" s="13" t="inlineStr">
        <is>
          <t>F</t>
        </is>
      </c>
      <c r="B27" s="110" t="inlineStr">
        <is>
          <t xml:space="preserve">CO₂ + H₂ ⇌ CO + H₂O </t>
        </is>
      </c>
    </row>
    <row r="28">
      <c r="A28" s="13" t="n"/>
    </row>
    <row r="29">
      <c r="A29" s="13" t="n"/>
      <c r="B29" t="inlineStr">
        <is>
          <t>Reaction Coordinate DM</t>
        </is>
      </c>
      <c r="C29" s="108" t="n">
        <v>3.393e-07</v>
      </c>
      <c r="D29" s="108" t="n">
        <v>8.71928e-07</v>
      </c>
      <c r="E29" s="108" t="n">
        <v>1.79913e-06</v>
      </c>
      <c r="F29" s="108" t="n">
        <v>2.53603e-06</v>
      </c>
      <c r="G29" s="108" t="n">
        <v>2.67665e-06</v>
      </c>
      <c r="H29" s="108" t="n">
        <v>2.60224e-06</v>
      </c>
      <c r="I29" s="108" t="n">
        <v>2.53132e-06</v>
      </c>
      <c r="J29" s="108" t="n">
        <v>2.50727e-06</v>
      </c>
      <c r="K29" s="108" t="n">
        <v>2.50056e-06</v>
      </c>
      <c r="L29" s="108" t="n">
        <v>2.49852e-06</v>
      </c>
      <c r="M29" s="108" t="n">
        <v>2.49799e-06</v>
      </c>
      <c r="N29" s="108" t="n">
        <v>2.49739e-06</v>
      </c>
      <c r="O29" s="108" t="n">
        <v>2.49796e-06</v>
      </c>
      <c r="P29" s="108" t="n">
        <v>2.49852e-06</v>
      </c>
    </row>
    <row r="30">
      <c r="A30" s="13" t="inlineStr">
        <is>
          <t>-</t>
        </is>
      </c>
      <c r="B30" s="110" t="inlineStr">
        <is>
          <t xml:space="preserve">CH₄ ⇌ C(s) + 2H₂ </t>
        </is>
      </c>
    </row>
    <row r="31">
      <c r="A31" s="19" t="n"/>
    </row>
    <row r="32">
      <c r="A32" s="13" t="n">
        <v>1</v>
      </c>
      <c r="C32" s="71" t="inlineStr">
        <is>
          <t>673 K</t>
        </is>
      </c>
      <c r="D32" s="71" t="inlineStr">
        <is>
          <t>723 K</t>
        </is>
      </c>
      <c r="E32" s="71" t="inlineStr">
        <is>
          <t>773 K</t>
        </is>
      </c>
      <c r="F32" s="71" t="inlineStr">
        <is>
          <t>823 K</t>
        </is>
      </c>
      <c r="G32" s="71" t="inlineStr">
        <is>
          <t>873 K</t>
        </is>
      </c>
      <c r="H32" s="71" t="inlineStr">
        <is>
          <t>923 K</t>
        </is>
      </c>
      <c r="I32" s="71" t="inlineStr">
        <is>
          <t>973 K</t>
        </is>
      </c>
      <c r="J32" s="71" t="inlineStr">
        <is>
          <t>1023 K</t>
        </is>
      </c>
      <c r="K32" s="71" t="inlineStr">
        <is>
          <t>1073 K</t>
        </is>
      </c>
      <c r="L32" s="3" t="inlineStr">
        <is>
          <t>1123 K</t>
        </is>
      </c>
      <c r="M32" s="3" t="inlineStr">
        <is>
          <t>1173 K</t>
        </is>
      </c>
      <c r="N32" s="3" t="inlineStr">
        <is>
          <t>1223 K</t>
        </is>
      </c>
      <c r="O32" s="4" t="inlineStr">
        <is>
          <t>1273 K</t>
        </is>
      </c>
      <c r="P32" s="4" t="inlineStr">
        <is>
          <t>1323 K</t>
        </is>
      </c>
    </row>
    <row r="33" ht="15.75" customHeight="1" s="104">
      <c r="A33" s="13" t="n"/>
      <c r="B33" s="112" t="inlineStr">
        <is>
          <t>Convertion CH4 (%)</t>
        </is>
      </c>
      <c r="C33" s="110" t="n">
        <v>10.0455</v>
      </c>
      <c r="D33" s="110" t="n">
        <v>25.3489</v>
      </c>
      <c r="E33" s="110" t="n">
        <v>52.1116</v>
      </c>
      <c r="F33" s="110" t="n">
        <v>77.0731</v>
      </c>
      <c r="G33" s="110" t="n">
        <v>89.2101</v>
      </c>
      <c r="H33" s="110" t="n">
        <v>95.03660000000001</v>
      </c>
      <c r="I33" s="110" t="n">
        <v>97.7475</v>
      </c>
      <c r="J33" s="110" t="n">
        <v>98.9529</v>
      </c>
      <c r="K33" s="110" t="n">
        <v>99.50239999999999</v>
      </c>
      <c r="L33" s="110" t="n">
        <v>99.76949999999999</v>
      </c>
      <c r="M33" s="110" t="n">
        <v>99.89409999999999</v>
      </c>
      <c r="N33" s="110" t="n">
        <v>99.9451</v>
      </c>
      <c r="O33" s="110" t="n">
        <v>99.9653</v>
      </c>
      <c r="P33" s="110" t="n">
        <v>99.76949999999999</v>
      </c>
    </row>
    <row r="34" ht="15.75" customHeight="1" s="104">
      <c r="A34" s="20" t="n"/>
      <c r="B34" s="112" t="inlineStr">
        <is>
          <t>Convertion CO2 (%)</t>
        </is>
      </c>
      <c r="C34" s="110" t="n">
        <v>8.45937</v>
      </c>
      <c r="D34" s="110" t="n">
        <v>18.0838</v>
      </c>
      <c r="E34" s="110" t="n">
        <v>31.9882</v>
      </c>
      <c r="F34" s="110" t="n">
        <v>42.9723</v>
      </c>
      <c r="G34" s="110" t="n">
        <v>48.7396</v>
      </c>
      <c r="H34" s="110" t="n">
        <v>54.1891</v>
      </c>
      <c r="I34" s="110" t="n">
        <v>60.4206</v>
      </c>
      <c r="J34" s="110" t="n">
        <v>67.2621</v>
      </c>
      <c r="K34" s="110" t="n">
        <v>74.19280000000001</v>
      </c>
      <c r="L34" s="110" t="n">
        <v>79.9512</v>
      </c>
      <c r="M34" s="110" t="n">
        <v>83.5621</v>
      </c>
      <c r="N34" s="110" t="n">
        <v>85.4573</v>
      </c>
      <c r="O34" s="110" t="n">
        <v>86.4992</v>
      </c>
      <c r="P34" s="110" t="n">
        <v>79.9512</v>
      </c>
    </row>
    <row r="35">
      <c r="B35" s="112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  <c r="P35" s="110" t="n"/>
    </row>
    <row r="36">
      <c r="A36" t="inlineStr">
        <is>
          <t>Temp(K)</t>
        </is>
      </c>
      <c r="C36" s="71" t="inlineStr">
        <is>
          <t>673 K</t>
        </is>
      </c>
      <c r="D36" s="71" t="inlineStr">
        <is>
          <t>723 K</t>
        </is>
      </c>
      <c r="E36" s="71" t="inlineStr">
        <is>
          <t>773 K</t>
        </is>
      </c>
      <c r="F36" s="71" t="inlineStr">
        <is>
          <t>823 K</t>
        </is>
      </c>
      <c r="G36" s="71" t="inlineStr">
        <is>
          <t>873 K</t>
        </is>
      </c>
      <c r="H36" s="71" t="inlineStr">
        <is>
          <t>923 K</t>
        </is>
      </c>
      <c r="I36" s="71" t="inlineStr">
        <is>
          <t>973 K</t>
        </is>
      </c>
      <c r="J36" s="71" t="inlineStr">
        <is>
          <t>1023 K</t>
        </is>
      </c>
      <c r="K36" s="71" t="inlineStr">
        <is>
          <t>1073 K</t>
        </is>
      </c>
      <c r="L36" s="3" t="inlineStr">
        <is>
          <t>1123 K</t>
        </is>
      </c>
      <c r="M36" s="3" t="inlineStr">
        <is>
          <t>1173 K</t>
        </is>
      </c>
      <c r="N36" s="3" t="inlineStr">
        <is>
          <t>1223 K</t>
        </is>
      </c>
      <c r="O36" s="4" t="inlineStr">
        <is>
          <t>1273 K</t>
        </is>
      </c>
      <c r="P36" s="4" t="inlineStr">
        <is>
          <t>1323 K</t>
        </is>
      </c>
    </row>
    <row r="37">
      <c r="B37" s="112" t="inlineStr">
        <is>
          <t>Selec ( C )</t>
        </is>
      </c>
      <c r="C37">
        <f>C29/(C23+C29)</f>
        <v/>
      </c>
      <c r="D37">
        <f>D29/(D23+D29)</f>
        <v/>
      </c>
      <c r="E37">
        <f>E29/(E23+E29)</f>
        <v/>
      </c>
      <c r="F37">
        <f>F29/(F23+F29)</f>
        <v/>
      </c>
      <c r="G37">
        <f>G29/(G23+G29)</f>
        <v/>
      </c>
      <c r="H37">
        <f>H29/(H23+H29)</f>
        <v/>
      </c>
      <c r="I37">
        <f>I29/(I23+I29)</f>
        <v/>
      </c>
      <c r="J37">
        <f>J29/(J23+J29)</f>
        <v/>
      </c>
      <c r="K37">
        <f>K29/(K23+K29)</f>
        <v/>
      </c>
      <c r="L37">
        <f>L29/(L23+L29)</f>
        <v/>
      </c>
      <c r="M37">
        <f>M29/(M23+M29)</f>
        <v/>
      </c>
      <c r="N37">
        <f>N29/(N23+N29)</f>
        <v/>
      </c>
      <c r="O37">
        <f>O29/(O23+O29)</f>
        <v/>
      </c>
      <c r="P37">
        <f>P29/(P23+P29)</f>
        <v/>
      </c>
    </row>
    <row r="38" ht="15.75" customHeight="1" s="104">
      <c r="B38" s="112" t="inlineStr">
        <is>
          <t>H2 / CO</t>
        </is>
      </c>
      <c r="C38">
        <f>C19/C16</f>
        <v/>
      </c>
      <c r="D38">
        <f>D19/D16</f>
        <v/>
      </c>
      <c r="E38">
        <f>E19/E16</f>
        <v/>
      </c>
      <c r="F38">
        <f>F19/F16</f>
        <v/>
      </c>
      <c r="G38">
        <f>G19/G16</f>
        <v/>
      </c>
      <c r="H38">
        <f>H19/H16</f>
        <v/>
      </c>
      <c r="I38">
        <f>I19/I16</f>
        <v/>
      </c>
      <c r="J38">
        <f>J19/J16</f>
        <v/>
      </c>
      <c r="K38">
        <f>K19/K16</f>
        <v/>
      </c>
      <c r="L38">
        <f>L19/L16</f>
        <v/>
      </c>
      <c r="M38">
        <f>M19/M16</f>
        <v/>
      </c>
      <c r="N38">
        <f>N19/N16</f>
        <v/>
      </c>
      <c r="O38">
        <f>O19/O16</f>
        <v/>
      </c>
      <c r="P38">
        <f>P19/P16</f>
        <v/>
      </c>
    </row>
    <row r="39">
      <c r="C39" s="21" t="n"/>
      <c r="D39" s="21" t="n"/>
      <c r="E39" s="21" t="n"/>
    </row>
    <row r="40">
      <c r="C40" s="21" t="n"/>
      <c r="D40" s="21" t="n"/>
      <c r="E40" s="21" t="n"/>
    </row>
    <row r="41">
      <c r="C41" s="21" t="n"/>
      <c r="D41" s="21" t="n"/>
      <c r="E41" s="21" t="n"/>
    </row>
    <row r="42"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3" t="n"/>
      <c r="M42" s="3" t="n"/>
      <c r="N42" s="3" t="n"/>
      <c r="O42" s="4" t="n"/>
      <c r="P42" s="4" t="n"/>
    </row>
    <row r="43">
      <c r="B43" s="112" t="n"/>
    </row>
    <row r="44" s="104">
      <c r="B44" s="112" t="n"/>
    </row>
    <row r="45"/>
    <row r="46">
      <c r="B46" s="112" t="n"/>
    </row>
    <row r="51"/>
    <row r="56">
      <c r="B56" s="71" t="n"/>
      <c r="C56" s="71" t="n"/>
      <c r="D56" s="71" t="n"/>
      <c r="E56" s="71" t="n"/>
      <c r="F56" s="71" t="n"/>
      <c r="G56" s="71" t="n"/>
      <c r="H56" s="71" t="n"/>
      <c r="I56" s="71" t="n"/>
      <c r="J56" s="71" t="n"/>
      <c r="K56" s="113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V56" s="71" t="n"/>
      <c r="W56" s="71" t="n"/>
      <c r="X56" s="71" t="n"/>
      <c r="Y56" s="71" t="n"/>
      <c r="AA56" s="71" t="n"/>
      <c r="AB56" s="71" t="n"/>
      <c r="AC56" s="71" t="n"/>
      <c r="AD56" s="71" t="n"/>
      <c r="AF56" s="71" t="n"/>
      <c r="AG56" s="71" t="n"/>
      <c r="AH56" s="71" t="n"/>
      <c r="AI56" s="71" t="n"/>
    </row>
    <row r="57"/>
    <row r="58"/>
    <row r="59"/>
    <row r="60"/>
    <row r="61"/>
    <row r="62"/>
    <row r="67">
      <c r="I67" s="52" t="n"/>
    </row>
    <row r="71">
      <c r="I71" s="53" t="n"/>
    </row>
    <row r="72">
      <c r="I72" s="54" t="n"/>
    </row>
    <row r="73">
      <c r="I73" s="54" t="n"/>
    </row>
  </sheetData>
  <pageMargins left="0.39375" right="0.39375" top="0.7875" bottom="0.7875" header="0.511811023622047" footer="0.511811023622047"/>
  <pageSetup orientation="landscape" paperSize="9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J63"/>
  <sheetViews>
    <sheetView zoomScale="84" zoomScaleNormal="84" workbookViewId="0">
      <selection activeCell="AF2" sqref="AF2"/>
    </sheetView>
  </sheetViews>
  <sheetFormatPr baseColWidth="8" defaultColWidth="11.5703125" defaultRowHeight="12.75"/>
  <cols>
    <col width="6.5703125" customWidth="1" style="104" min="1" max="1"/>
    <col width="30.7109375" customWidth="1" style="104" min="2" max="2"/>
    <col width="13.5703125" customWidth="1" style="104" min="3" max="3"/>
    <col width="12.7109375" customWidth="1" style="104" min="4" max="6"/>
    <col width="2" customWidth="1" style="104" min="7" max="7"/>
    <col width="12.7109375" customWidth="1" style="104" min="8" max="11"/>
    <col width="2" customWidth="1" style="104" min="12" max="12"/>
    <col width="12.7109375" customWidth="1" style="104" min="13" max="16"/>
    <col width="2" customWidth="1" style="104" min="17" max="17"/>
    <col width="12.7109375" customWidth="1" style="104" min="18" max="21"/>
    <col width="2" customWidth="1" style="104" min="22" max="22"/>
    <col width="13.7109375" customWidth="1" style="104" min="23" max="23"/>
    <col width="15.28515625" customWidth="1" style="104" min="24" max="24"/>
    <col width="12.7109375" customWidth="1" style="104" min="25" max="26"/>
    <col width="2" customWidth="1" style="104" min="27" max="27"/>
    <col width="12.7109375" customWidth="1" style="104" min="28" max="31"/>
    <col width="2" customWidth="1" style="104" min="32" max="32"/>
    <col width="12.7109375" customWidth="1" style="104" min="33" max="36"/>
  </cols>
  <sheetData>
    <row r="1" ht="12.75" customHeight="1" s="104"/>
    <row r="2" ht="12.75" customHeight="1" s="104">
      <c r="A2" s="11" t="n"/>
      <c r="B2" s="112" t="inlineStr">
        <is>
          <t>Temperatura ( K ) =</t>
        </is>
      </c>
      <c r="C2" s="71" t="inlineStr">
        <is>
          <t>823 K</t>
        </is>
      </c>
      <c r="D2" s="71" t="inlineStr">
        <is>
          <t>823 K</t>
        </is>
      </c>
      <c r="E2" s="71" t="inlineStr">
        <is>
          <t>823 K</t>
        </is>
      </c>
      <c r="F2" s="71" t="inlineStr">
        <is>
          <t>823 K</t>
        </is>
      </c>
      <c r="G2" s="71" t="n"/>
      <c r="H2" s="71" t="inlineStr">
        <is>
          <t>873K</t>
        </is>
      </c>
      <c r="I2" s="71" t="inlineStr">
        <is>
          <t>873K</t>
        </is>
      </c>
      <c r="J2" s="71" t="inlineStr">
        <is>
          <t>873K</t>
        </is>
      </c>
      <c r="K2" s="71" t="inlineStr">
        <is>
          <t>873K</t>
        </is>
      </c>
      <c r="L2" s="71" t="n"/>
      <c r="M2" s="71" t="inlineStr">
        <is>
          <t>923 K</t>
        </is>
      </c>
      <c r="N2" s="71" t="inlineStr">
        <is>
          <t>923 K</t>
        </is>
      </c>
      <c r="O2" s="71" t="inlineStr">
        <is>
          <t>923 K</t>
        </is>
      </c>
      <c r="P2" s="71" t="inlineStr">
        <is>
          <t>923 K</t>
        </is>
      </c>
      <c r="Q2" s="71" t="n"/>
      <c r="R2" s="71" t="inlineStr">
        <is>
          <t>973 K</t>
        </is>
      </c>
      <c r="S2" s="71" t="inlineStr">
        <is>
          <t>973 K</t>
        </is>
      </c>
      <c r="T2" s="71" t="inlineStr">
        <is>
          <t>973 K</t>
        </is>
      </c>
      <c r="U2" s="71" t="inlineStr">
        <is>
          <t>973 K</t>
        </is>
      </c>
      <c r="W2" s="59" t="inlineStr">
        <is>
          <t>1023 K</t>
        </is>
      </c>
      <c r="X2" s="59" t="inlineStr">
        <is>
          <t>1023 K</t>
        </is>
      </c>
      <c r="Y2" s="59" t="inlineStr">
        <is>
          <t>1023 K</t>
        </is>
      </c>
      <c r="Z2" s="59" t="inlineStr">
        <is>
          <t>1023 K</t>
        </is>
      </c>
      <c r="AA2" s="71" t="n"/>
      <c r="AB2" s="71" t="inlineStr">
        <is>
          <t>1073 K</t>
        </is>
      </c>
      <c r="AC2" s="71" t="inlineStr">
        <is>
          <t>1073 K</t>
        </is>
      </c>
      <c r="AD2" s="71" t="inlineStr">
        <is>
          <t>1073 K</t>
        </is>
      </c>
      <c r="AE2" s="71" t="inlineStr">
        <is>
          <t>1073 K</t>
        </is>
      </c>
      <c r="AG2" s="71" t="inlineStr">
        <is>
          <t>1123 K</t>
        </is>
      </c>
      <c r="AH2" s="71" t="inlineStr">
        <is>
          <t>1123 K</t>
        </is>
      </c>
      <c r="AI2" s="71" t="inlineStr">
        <is>
          <t>1123 K</t>
        </is>
      </c>
      <c r="AJ2" s="71" t="inlineStr">
        <is>
          <t>1123 K</t>
        </is>
      </c>
    </row>
    <row r="3" ht="12.75" customHeight="1" s="104">
      <c r="A3" s="13" t="inlineStr">
        <is>
          <t>F</t>
        </is>
      </c>
      <c r="B3" s="112" t="inlineStr">
        <is>
          <t>Pressão ( Pa ) =</t>
        </is>
      </c>
      <c r="C3" s="77" t="n">
        <v>101325</v>
      </c>
      <c r="D3" s="77" t="n">
        <v>101325</v>
      </c>
      <c r="E3" s="77" t="n">
        <v>101325</v>
      </c>
      <c r="F3" s="77" t="n">
        <v>101325</v>
      </c>
      <c r="G3" s="77" t="n"/>
      <c r="H3" s="77" t="n">
        <v>101325</v>
      </c>
      <c r="I3" s="77" t="n">
        <v>101325</v>
      </c>
      <c r="J3" s="77" t="n">
        <v>101325</v>
      </c>
      <c r="K3" s="77" t="n">
        <v>101325</v>
      </c>
      <c r="L3" s="77" t="n"/>
      <c r="M3" s="77" t="n">
        <v>101325</v>
      </c>
      <c r="N3" s="77" t="n">
        <v>101325</v>
      </c>
      <c r="O3" s="77" t="n">
        <v>101325</v>
      </c>
      <c r="P3" s="77" t="n">
        <v>101325</v>
      </c>
      <c r="Q3" s="77" t="n"/>
      <c r="R3" s="77" t="n">
        <v>101325</v>
      </c>
      <c r="S3" s="77" t="n">
        <v>101325</v>
      </c>
      <c r="T3" s="77" t="n">
        <v>101325</v>
      </c>
      <c r="U3" s="77" t="n">
        <v>101325</v>
      </c>
      <c r="V3" s="77" t="n"/>
      <c r="W3" s="77" t="n">
        <v>101325</v>
      </c>
      <c r="X3" s="77" t="n">
        <v>101325</v>
      </c>
      <c r="Y3" s="77" t="n">
        <v>101325</v>
      </c>
      <c r="Z3" s="77" t="n">
        <v>101325</v>
      </c>
      <c r="AA3" s="77" t="n"/>
      <c r="AB3" s="77" t="n">
        <v>101325</v>
      </c>
      <c r="AC3" s="77" t="n">
        <v>101325</v>
      </c>
      <c r="AD3" s="77" t="n">
        <v>101325</v>
      </c>
      <c r="AE3" s="77" t="n">
        <v>101325</v>
      </c>
      <c r="AF3" s="77" t="n"/>
      <c r="AG3" s="77" t="n">
        <v>101325</v>
      </c>
      <c r="AH3" s="77" t="n">
        <v>101325</v>
      </c>
      <c r="AI3" s="77" t="n">
        <v>101325</v>
      </c>
      <c r="AJ3" s="77" t="n">
        <v>101325</v>
      </c>
    </row>
    <row r="4" ht="12.75" customHeight="1" s="104">
      <c r="A4" s="13" t="inlineStr">
        <is>
          <t>E</t>
        </is>
      </c>
      <c r="B4" s="112" t="inlineStr">
        <is>
          <t>“BIOGAS” Flow (mol/s) =</t>
        </is>
      </c>
      <c r="C4" s="77" t="n">
        <v>0.01</v>
      </c>
      <c r="D4" s="77" t="n">
        <v>0.01</v>
      </c>
      <c r="E4" s="77" t="n">
        <v>0.01</v>
      </c>
      <c r="F4" s="77" t="n">
        <v>0.01</v>
      </c>
      <c r="G4" s="77" t="n"/>
      <c r="H4" s="77" t="n">
        <v>0.01</v>
      </c>
      <c r="I4" s="77" t="n">
        <v>0.01</v>
      </c>
      <c r="J4" s="77" t="n">
        <v>0.01</v>
      </c>
      <c r="K4" s="77" t="n">
        <v>0.01</v>
      </c>
      <c r="L4" s="77" t="n"/>
      <c r="M4" s="77" t="n">
        <v>0.01</v>
      </c>
      <c r="N4" s="77" t="n">
        <v>0.01</v>
      </c>
      <c r="O4" s="77" t="n">
        <v>0.01</v>
      </c>
      <c r="P4" s="77" t="n">
        <v>0.01</v>
      </c>
      <c r="Q4" s="77" t="n"/>
      <c r="R4" s="77" t="n">
        <v>0.01</v>
      </c>
      <c r="S4" s="77" t="n">
        <v>0.01</v>
      </c>
      <c r="T4" s="77" t="n">
        <v>0.01</v>
      </c>
      <c r="U4" s="77" t="n">
        <v>0.01</v>
      </c>
      <c r="V4" s="77" t="n"/>
      <c r="W4" s="77" t="n">
        <v>0.01</v>
      </c>
      <c r="X4" s="77" t="n">
        <v>0.01</v>
      </c>
      <c r="Y4" s="77" t="n">
        <v>0.01</v>
      </c>
      <c r="Z4" s="77" t="n">
        <v>0.01</v>
      </c>
      <c r="AA4" s="77" t="n"/>
      <c r="AB4" s="77" t="n">
        <v>0.01</v>
      </c>
      <c r="AC4" s="77" t="n">
        <v>0.01</v>
      </c>
      <c r="AD4" s="77" t="n">
        <v>0.01</v>
      </c>
      <c r="AE4" s="77" t="n">
        <v>0.01</v>
      </c>
      <c r="AF4" s="77" t="n"/>
      <c r="AG4" s="77" t="n">
        <v>0.01</v>
      </c>
      <c r="AH4" s="77" t="n">
        <v>0.01</v>
      </c>
      <c r="AI4" s="77" t="n">
        <v>0.01</v>
      </c>
      <c r="AJ4" s="77" t="n">
        <v>0.01</v>
      </c>
    </row>
    <row r="5" ht="12.75" customHeight="1" s="104">
      <c r="A5" s="13" t="inlineStr">
        <is>
          <t>E</t>
        </is>
      </c>
      <c r="C5" s="77" t="n"/>
      <c r="D5" s="77" t="n"/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7" t="n"/>
      <c r="O5" s="77" t="n"/>
      <c r="P5" s="77" t="n"/>
      <c r="Q5" s="77" t="n"/>
      <c r="R5" s="77" t="n"/>
      <c r="S5" s="77" t="n"/>
      <c r="T5" s="77" t="n"/>
      <c r="U5" s="77" t="n"/>
      <c r="V5" s="77" t="n"/>
      <c r="W5" s="77" t="n"/>
      <c r="X5" s="77" t="n"/>
      <c r="Y5" s="77" t="n"/>
      <c r="Z5" s="77" t="n"/>
      <c r="AA5" s="77" t="n"/>
      <c r="AB5" s="77" t="n"/>
      <c r="AC5" s="77" t="n"/>
      <c r="AD5" s="77" t="n"/>
      <c r="AE5" s="77" t="n"/>
      <c r="AF5" s="77" t="n"/>
      <c r="AG5" s="77" t="n"/>
      <c r="AH5" s="77" t="n"/>
      <c r="AI5" s="77" t="n"/>
      <c r="AJ5" s="77" t="n"/>
    </row>
    <row r="6" ht="12.75" customHeight="1" s="104">
      <c r="A6" s="13" t="inlineStr">
        <is>
          <t>D</t>
        </is>
      </c>
      <c r="B6" s="22" t="inlineStr">
        <is>
          <t>Basis: MOLAR FRACTION</t>
        </is>
      </c>
      <c r="C6" s="77" t="n"/>
      <c r="D6" s="77" t="n"/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7" t="n"/>
      <c r="O6" s="77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77" t="n"/>
      <c r="Z6" s="77" t="n"/>
      <c r="AA6" s="77" t="n"/>
      <c r="AB6" s="77" t="n"/>
      <c r="AC6" s="77" t="n"/>
      <c r="AD6" s="77" t="n"/>
      <c r="AE6" s="77" t="n"/>
      <c r="AF6" s="77" t="n"/>
      <c r="AG6" s="77" t="n"/>
      <c r="AH6" s="77" t="n"/>
      <c r="AI6" s="77" t="n"/>
      <c r="AJ6" s="77" t="n"/>
    </row>
    <row r="7" ht="12.75" customHeight="1" s="104">
      <c r="A7" s="13" t="n"/>
      <c r="B7" s="112" t="inlineStr">
        <is>
          <t>CH4/CO2 =</t>
        </is>
      </c>
      <c r="C7" s="77" t="n">
        <v>1</v>
      </c>
      <c r="D7" s="77" t="n">
        <v>1</v>
      </c>
      <c r="E7" s="77" t="n">
        <v>1</v>
      </c>
      <c r="F7" s="77" t="n">
        <v>1</v>
      </c>
      <c r="G7" s="77" t="n"/>
      <c r="H7" s="77" t="n">
        <v>1</v>
      </c>
      <c r="I7" s="77" t="n">
        <v>1</v>
      </c>
      <c r="J7" s="77" t="n">
        <v>1</v>
      </c>
      <c r="K7" s="77" t="n">
        <v>1</v>
      </c>
      <c r="L7" s="77" t="n"/>
      <c r="M7" s="77" t="n">
        <v>1</v>
      </c>
      <c r="N7" s="77" t="n">
        <v>1</v>
      </c>
      <c r="O7" s="77" t="n">
        <v>1</v>
      </c>
      <c r="P7" s="77" t="n">
        <v>1</v>
      </c>
      <c r="Q7" s="77" t="n"/>
      <c r="R7" s="77" t="n">
        <v>1</v>
      </c>
      <c r="S7" s="77" t="n">
        <v>1</v>
      </c>
      <c r="T7" s="77" t="n">
        <v>1</v>
      </c>
      <c r="U7" s="77" t="n">
        <v>1</v>
      </c>
      <c r="V7" s="77" t="n"/>
      <c r="W7" s="77" t="n">
        <v>1</v>
      </c>
      <c r="X7" s="77" t="n">
        <v>1</v>
      </c>
      <c r="Y7" s="77" t="n">
        <v>1</v>
      </c>
      <c r="Z7" s="77" t="n">
        <v>1</v>
      </c>
      <c r="AA7" s="77" t="n"/>
      <c r="AB7" s="77" t="n">
        <v>1</v>
      </c>
      <c r="AC7" s="77" t="n">
        <v>1</v>
      </c>
      <c r="AD7" s="77" t="n">
        <v>1</v>
      </c>
      <c r="AE7" s="77" t="n">
        <v>1</v>
      </c>
      <c r="AF7" s="77" t="n"/>
      <c r="AG7" s="77" t="n">
        <v>1</v>
      </c>
      <c r="AH7" s="77" t="n">
        <v>1</v>
      </c>
      <c r="AI7" s="77" t="n">
        <v>1</v>
      </c>
      <c r="AJ7" s="77" t="n">
        <v>1</v>
      </c>
    </row>
    <row r="8" ht="12.75" customHeight="1" s="104">
      <c r="A8" s="23" t="inlineStr">
        <is>
          <t>IN</t>
        </is>
      </c>
      <c r="B8" s="112" t="inlineStr">
        <is>
          <t>CH4 (fração molar) =</t>
        </is>
      </c>
      <c r="C8" s="77" t="n">
        <v>0.5</v>
      </c>
      <c r="D8" s="77" t="n">
        <v>0.6</v>
      </c>
      <c r="E8" s="77" t="n">
        <v>0.7</v>
      </c>
      <c r="F8" s="77" t="n">
        <v>0.8</v>
      </c>
      <c r="G8" s="77" t="n"/>
      <c r="H8" s="77" t="n">
        <v>0.5</v>
      </c>
      <c r="I8" s="77" t="n">
        <v>0.6</v>
      </c>
      <c r="J8" s="77" t="n">
        <v>0.7</v>
      </c>
      <c r="K8" s="77" t="n">
        <v>0.8</v>
      </c>
      <c r="L8" s="77" t="n"/>
      <c r="M8" s="77" t="n">
        <v>0.5</v>
      </c>
      <c r="N8" s="77" t="n">
        <v>0.6</v>
      </c>
      <c r="O8" s="77" t="n">
        <v>0.7</v>
      </c>
      <c r="P8" s="77" t="n">
        <v>0.8</v>
      </c>
      <c r="Q8" s="77" t="n"/>
      <c r="R8" s="77" t="n">
        <v>0.5</v>
      </c>
      <c r="S8" s="77" t="n">
        <v>0.6</v>
      </c>
      <c r="T8" s="77" t="n">
        <v>0.7</v>
      </c>
      <c r="U8" s="77" t="n">
        <v>0.8</v>
      </c>
      <c r="V8" s="77" t="n"/>
      <c r="W8" s="77" t="n">
        <v>0.5</v>
      </c>
      <c r="X8" s="77" t="n">
        <v>0.6</v>
      </c>
      <c r="Y8" s="77" t="n">
        <v>0.7</v>
      </c>
      <c r="Z8" s="77" t="n">
        <v>0.8</v>
      </c>
      <c r="AA8" s="77" t="n"/>
      <c r="AB8" s="77">
        <f>AB7/(1+AB7)</f>
        <v/>
      </c>
      <c r="AC8" s="77" t="n">
        <v>0.6</v>
      </c>
      <c r="AD8" s="77" t="n">
        <v>0.7</v>
      </c>
      <c r="AE8" s="77" t="n">
        <v>0.8</v>
      </c>
      <c r="AF8" s="77" t="n"/>
      <c r="AG8" s="77" t="n">
        <v>0.5</v>
      </c>
      <c r="AH8" s="77" t="n">
        <v>0.6</v>
      </c>
      <c r="AI8" s="77" t="n">
        <v>0.7</v>
      </c>
      <c r="AJ8" s="77" t="n">
        <v>0.8</v>
      </c>
    </row>
    <row r="9" ht="12.75" customHeight="1" s="104">
      <c r="A9" s="14" t="n"/>
      <c r="B9" s="112" t="inlineStr">
        <is>
          <t>CO2 (fração molar) =</t>
        </is>
      </c>
      <c r="C9" s="77" t="n">
        <v>0.5</v>
      </c>
      <c r="D9" s="77" t="n">
        <v>0.4</v>
      </c>
      <c r="E9" s="77" t="n">
        <v>0.3</v>
      </c>
      <c r="F9" s="77" t="n">
        <v>0.2</v>
      </c>
      <c r="G9" s="77" t="n"/>
      <c r="H9" s="77" t="n">
        <v>0.5</v>
      </c>
      <c r="I9" s="77" t="n">
        <v>0.4</v>
      </c>
      <c r="J9" s="77" t="n">
        <v>0.3</v>
      </c>
      <c r="K9" s="77" t="n">
        <v>0.2</v>
      </c>
      <c r="L9" s="77" t="n"/>
      <c r="M9" s="77" t="n">
        <v>0.5</v>
      </c>
      <c r="N9" s="77" t="n">
        <v>0.4</v>
      </c>
      <c r="O9" s="77" t="n">
        <v>0.3</v>
      </c>
      <c r="P9" s="77" t="n">
        <v>0.2</v>
      </c>
      <c r="Q9" s="77" t="n"/>
      <c r="R9" s="77" t="n">
        <v>0.5</v>
      </c>
      <c r="S9" s="77" t="n">
        <v>0.4</v>
      </c>
      <c r="T9" s="77" t="n">
        <v>0.3</v>
      </c>
      <c r="U9" s="77" t="n">
        <v>0.2</v>
      </c>
      <c r="V9" s="77" t="n"/>
      <c r="W9" s="77" t="n">
        <v>0.5</v>
      </c>
      <c r="X9" s="77" t="n">
        <v>0.4</v>
      </c>
      <c r="Y9" s="77" t="n">
        <v>0.3</v>
      </c>
      <c r="Z9" s="77" t="n">
        <v>0.2</v>
      </c>
      <c r="AA9" s="77" t="n"/>
      <c r="AB9" s="77">
        <f>1/(1+AB7)</f>
        <v/>
      </c>
      <c r="AC9" s="77" t="n">
        <v>0.4</v>
      </c>
      <c r="AD9" s="77" t="n">
        <v>0.3</v>
      </c>
      <c r="AE9" s="77" t="n">
        <v>0.2</v>
      </c>
      <c r="AF9" s="77" t="n"/>
      <c r="AG9" s="77" t="n">
        <v>0.5</v>
      </c>
      <c r="AH9" s="77" t="n">
        <v>0.4</v>
      </c>
      <c r="AI9" s="77" t="n">
        <v>0.3</v>
      </c>
      <c r="AJ9" s="77" t="n">
        <v>0.2</v>
      </c>
    </row>
    <row r="10" ht="12.75" customHeight="1" s="104">
      <c r="C10" s="79" t="n"/>
      <c r="D10" s="79" t="n"/>
      <c r="E10" s="79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7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79" t="n"/>
      <c r="AF10" s="77" t="n"/>
      <c r="AG10" s="79" t="n"/>
      <c r="AH10" s="79" t="n"/>
      <c r="AI10" s="79" t="n"/>
      <c r="AJ10" s="79" t="n"/>
    </row>
    <row r="11" ht="12.75" customHeight="1" s="104">
      <c r="A11" s="24" t="n"/>
      <c r="B11" s="22" t="inlineStr">
        <is>
          <t>Basis: MOLAR FLOW</t>
        </is>
      </c>
      <c r="C11" s="127" t="n"/>
      <c r="D11" s="127" t="n"/>
      <c r="E11" s="127" t="n"/>
      <c r="F11" s="127" t="n"/>
      <c r="G11" s="127" t="n"/>
      <c r="H11" s="81" t="n"/>
      <c r="I11" s="81" t="n"/>
      <c r="J11" s="81" t="n"/>
      <c r="K11" s="81" t="n"/>
      <c r="L11" s="127" t="n"/>
      <c r="M11" s="128" t="n"/>
      <c r="N11" s="127" t="n"/>
      <c r="O11" s="127" t="n"/>
      <c r="P11" s="127" t="n"/>
      <c r="Q11" s="127" t="n"/>
      <c r="R11" s="81" t="n"/>
      <c r="S11" s="81" t="n"/>
      <c r="T11" s="81" t="n"/>
      <c r="U11" s="81" t="n"/>
      <c r="V11" s="129" t="n"/>
      <c r="W11" s="127" t="n"/>
      <c r="X11" s="127" t="n"/>
      <c r="Y11" s="127" t="n"/>
      <c r="Z11" s="127" t="n"/>
      <c r="AA11" s="127" t="n"/>
      <c r="AB11" s="81" t="n"/>
      <c r="AC11" s="81" t="n"/>
      <c r="AD11" s="81" t="n"/>
      <c r="AE11" s="81" t="n"/>
      <c r="AF11" s="129" t="n"/>
      <c r="AG11" s="127" t="n"/>
      <c r="AH11" s="127" t="n"/>
      <c r="AI11" s="127" t="n"/>
      <c r="AJ11" s="127" t="n"/>
    </row>
    <row r="12" ht="16.5" customHeight="1" s="104">
      <c r="A12" s="13" t="inlineStr">
        <is>
          <t>P</t>
        </is>
      </c>
      <c r="B12" s="112" t="inlineStr">
        <is>
          <t>CH4 ( mol/s )</t>
        </is>
      </c>
      <c r="C12" s="130" t="n">
        <v>0.001146343</v>
      </c>
      <c r="D12" s="130" t="n">
        <v>0.0014990933</v>
      </c>
      <c r="E12" s="130" t="n">
        <v>0.0018367644</v>
      </c>
      <c r="F12" s="130" t="n">
        <v>0.0021036679</v>
      </c>
      <c r="G12" s="130" t="n"/>
      <c r="H12" s="130" t="n">
        <v>0.00053949484</v>
      </c>
      <c r="I12" s="130" t="n">
        <v>0.00071673043</v>
      </c>
      <c r="J12" s="130" t="n">
        <v>0.00088360735</v>
      </c>
      <c r="K12" s="130" t="n">
        <v>0.0010176957</v>
      </c>
      <c r="L12" s="130" t="n"/>
      <c r="M12" s="131" t="n">
        <v>0.00024817174</v>
      </c>
      <c r="N12" s="130" t="n">
        <v>0.00034444772</v>
      </c>
      <c r="O12" s="130" t="n">
        <v>0.00044023089</v>
      </c>
      <c r="P12" s="130" t="n">
        <v>0.00052614608</v>
      </c>
      <c r="Q12" s="130" t="n"/>
      <c r="R12" s="130" t="n">
        <v>0.00011262527</v>
      </c>
      <c r="S12" s="130" t="n">
        <v>0.00016475861</v>
      </c>
      <c r="T12" s="130" t="n">
        <v>0.00022062625</v>
      </c>
      <c r="U12" s="130" t="n">
        <v>0.00027627477</v>
      </c>
      <c r="V12" s="129" t="n"/>
      <c r="W12" s="132" t="n">
        <v>5.2354132e-05</v>
      </c>
      <c r="X12" s="133" t="n">
        <v>8.0842088e-05</v>
      </c>
      <c r="Y12" s="89" t="n">
        <v>0.00011388085</v>
      </c>
      <c r="Z12" s="89" t="n">
        <v>0.00014987249</v>
      </c>
      <c r="AA12" s="130" t="n"/>
      <c r="AB12" s="130" t="n">
        <v>2.4882442e-05</v>
      </c>
      <c r="AC12" s="130" t="n">
        <v>4.1038887e-05</v>
      </c>
      <c r="AD12" s="130" t="n">
        <v>6.1019712e-05</v>
      </c>
      <c r="AE12" s="130" t="n">
        <v>8.424236400000001e-05</v>
      </c>
      <c r="AF12" s="129" t="n"/>
      <c r="AG12" s="130" t="n">
        <v>1.1525835e-05</v>
      </c>
      <c r="AH12" s="130" t="n">
        <v>2.0931972e-05</v>
      </c>
      <c r="AI12" s="130" t="n">
        <v>3.3462735e-05</v>
      </c>
      <c r="AJ12" s="130" t="n">
        <v>4.9409293e-05</v>
      </c>
    </row>
    <row r="13" ht="16.5" customHeight="1" s="104">
      <c r="A13" s="13" t="inlineStr">
        <is>
          <t>R</t>
        </is>
      </c>
      <c r="B13" s="112" t="inlineStr">
        <is>
          <t>CO2 ( mol/s)</t>
        </is>
      </c>
      <c r="C13" s="130" t="n">
        <v>0.002851387</v>
      </c>
      <c r="D13" s="130" t="n">
        <v>0.001887264</v>
      </c>
      <c r="E13" s="130" t="n">
        <v>0.0010488524</v>
      </c>
      <c r="F13" s="130" t="n">
        <v>0.00040484083</v>
      </c>
      <c r="G13" s="130" t="n"/>
      <c r="H13" s="130" t="n">
        <v>0.0025630222</v>
      </c>
      <c r="I13" s="130" t="n">
        <v>0.0016760765</v>
      </c>
      <c r="J13" s="130" t="n">
        <v>0.00092935131</v>
      </c>
      <c r="K13" s="130" t="n">
        <v>0.00037282677</v>
      </c>
      <c r="L13" s="130" t="n"/>
      <c r="M13" s="131" t="n">
        <v>0.0022905447</v>
      </c>
      <c r="N13" s="130" t="n">
        <v>0.0015021419</v>
      </c>
      <c r="O13" s="130" t="n">
        <v>0.00085452121</v>
      </c>
      <c r="P13" s="130" t="n">
        <v>0.0003706568</v>
      </c>
      <c r="Q13" s="130" t="n"/>
      <c r="R13" s="130" t="n">
        <v>0.0019789724</v>
      </c>
      <c r="S13" s="130" t="n">
        <v>0.0012860969</v>
      </c>
      <c r="T13" s="130" t="n">
        <v>0.00073560269</v>
      </c>
      <c r="U13" s="130" t="n">
        <v>0.00033061747</v>
      </c>
      <c r="V13" s="129" t="n"/>
      <c r="W13" s="89" t="n">
        <v>0.0016368936</v>
      </c>
      <c r="X13" s="89" t="n">
        <v>0.0010374189</v>
      </c>
      <c r="Y13" s="89" t="n">
        <v>0.00058121081</v>
      </c>
      <c r="Z13" s="89" t="n">
        <v>0.00025769697</v>
      </c>
      <c r="AA13" s="130" t="n"/>
      <c r="AB13" s="130" t="n">
        <v>0.0012903596</v>
      </c>
      <c r="AC13" s="130" t="n">
        <v>0.00077850629</v>
      </c>
      <c r="AD13" s="130" t="n">
        <v>0.00041380796</v>
      </c>
      <c r="AE13" s="130" t="n">
        <v>0.00017180192</v>
      </c>
      <c r="AF13" s="129" t="n"/>
      <c r="AG13" s="130" t="n">
        <v>0.0010024413</v>
      </c>
      <c r="AH13" s="130" t="n">
        <v>0.00055336837</v>
      </c>
      <c r="AI13" s="130" t="n">
        <v>0.00027085646</v>
      </c>
      <c r="AJ13" s="130" t="n">
        <v>0.00010633115</v>
      </c>
    </row>
    <row r="14" ht="16.5" customHeight="1" s="104">
      <c r="A14" s="13" t="inlineStr">
        <is>
          <t>O</t>
        </is>
      </c>
      <c r="B14" s="112" t="inlineStr">
        <is>
          <t>CO (mol/s)</t>
        </is>
      </c>
      <c r="C14" s="130" t="n">
        <v>0.0010594112</v>
      </c>
      <c r="D14" s="130" t="n">
        <v>0.00084207155</v>
      </c>
      <c r="E14" s="130" t="n">
        <v>0.00059614271</v>
      </c>
      <c r="F14" s="130" t="n">
        <v>0.00033582584</v>
      </c>
      <c r="G14" s="130" t="n"/>
      <c r="H14" s="130" t="n">
        <v>0.0016960356</v>
      </c>
      <c r="I14" s="130" t="n">
        <v>0.0013563415</v>
      </c>
      <c r="J14" s="130" t="n">
        <v>0.00097317969</v>
      </c>
      <c r="K14" s="130" t="n">
        <v>0.00057356167</v>
      </c>
      <c r="L14" s="130" t="n"/>
      <c r="M14" s="131" t="n">
        <v>0.0025567164</v>
      </c>
      <c r="N14" s="130" t="n">
        <v>0.0021021297</v>
      </c>
      <c r="O14" s="130" t="n">
        <v>0.0015734882</v>
      </c>
      <c r="P14" s="130" t="n">
        <v>0.0010027737</v>
      </c>
      <c r="Q14" s="130" t="n"/>
      <c r="R14" s="130" t="n">
        <v>0.0035466594</v>
      </c>
      <c r="S14" s="130" t="n">
        <v>0.002985239</v>
      </c>
      <c r="T14" s="130" t="n">
        <v>0.0023110969</v>
      </c>
      <c r="U14" s="130" t="n">
        <v>0.0015591711</v>
      </c>
      <c r="V14" s="129" t="n"/>
      <c r="W14" s="89" t="n">
        <v>0.0046102541</v>
      </c>
      <c r="X14" s="89" t="n">
        <v>0.00393675</v>
      </c>
      <c r="Y14" s="89" t="n">
        <v>0.0031160876</v>
      </c>
      <c r="Z14" s="89" t="n">
        <v>0.0021853864</v>
      </c>
      <c r="AA14" s="130" t="n"/>
      <c r="AB14" s="130" t="n">
        <v>0.0056728464</v>
      </c>
      <c r="AC14" s="130" t="n">
        <v>0.0049006507</v>
      </c>
      <c r="AD14" s="130" t="n">
        <v>0.0039273263</v>
      </c>
      <c r="AE14" s="130" t="n">
        <v>0.0027972979</v>
      </c>
      <c r="AF14" s="129" t="n"/>
      <c r="AG14" s="130" t="n">
        <v>0.0065270826</v>
      </c>
      <c r="AH14" s="130" t="n">
        <v>0.0057215579</v>
      </c>
      <c r="AI14" s="130" t="n">
        <v>0.0045930401</v>
      </c>
      <c r="AJ14" s="130" t="n">
        <v>0.0032188577</v>
      </c>
    </row>
    <row r="15" ht="16.5" customHeight="1" s="104">
      <c r="A15" s="13" t="inlineStr">
        <is>
          <t>D</t>
        </is>
      </c>
      <c r="B15" s="112" t="inlineStr">
        <is>
          <t>H2O ( mol/s)</t>
        </is>
      </c>
      <c r="C15" s="130" t="n">
        <v>0.003237815</v>
      </c>
      <c r="D15" s="130" t="n">
        <v>0.0033834007</v>
      </c>
      <c r="E15" s="130" t="n">
        <v>0.0033061527</v>
      </c>
      <c r="F15" s="130" t="n">
        <v>0.0028544927</v>
      </c>
      <c r="G15" s="130" t="n"/>
      <c r="H15" s="130" t="n">
        <v>0.0031779203</v>
      </c>
      <c r="I15" s="130" t="n">
        <v>0.0032915056</v>
      </c>
      <c r="J15" s="130" t="n">
        <v>0.0031681179</v>
      </c>
      <c r="K15" s="130" t="n">
        <v>0.002680785</v>
      </c>
      <c r="L15" s="130" t="n"/>
      <c r="M15" s="131" t="n">
        <v>0.0028621943</v>
      </c>
      <c r="N15" s="130" t="n">
        <v>0.0028935867</v>
      </c>
      <c r="O15" s="130" t="n">
        <v>0.0027174695</v>
      </c>
      <c r="P15" s="130" t="n">
        <v>0.0022559129</v>
      </c>
      <c r="Q15" s="130" t="n"/>
      <c r="R15" s="130" t="n">
        <v>0.0024953959</v>
      </c>
      <c r="S15" s="130" t="n">
        <v>0.0024425673</v>
      </c>
      <c r="T15" s="130" t="n">
        <v>0.002217698</v>
      </c>
      <c r="U15" s="130" t="n">
        <v>0.0017795942</v>
      </c>
      <c r="V15" s="129" t="n"/>
      <c r="W15" s="89" t="n">
        <v>0.0021159589</v>
      </c>
      <c r="X15" s="89" t="n">
        <v>0.0019884123</v>
      </c>
      <c r="Y15" s="89" t="n">
        <v>0.001721491</v>
      </c>
      <c r="Z15" s="89" t="n">
        <v>0.0012992198</v>
      </c>
      <c r="AA15" s="130" t="n"/>
      <c r="AB15" s="130" t="n">
        <v>0.0017464346</v>
      </c>
      <c r="AC15" s="130" t="n">
        <v>0.0015423369</v>
      </c>
      <c r="AD15" s="130" t="n">
        <v>0.001245058</v>
      </c>
      <c r="AE15" s="130" t="n">
        <v>0.0008590984700000001</v>
      </c>
      <c r="AF15" s="129" t="n"/>
      <c r="AG15" s="130" t="n">
        <v>0.0014680349</v>
      </c>
      <c r="AH15" s="130" t="n">
        <v>0.0011717056</v>
      </c>
      <c r="AI15" s="130" t="n">
        <v>0.00086524716</v>
      </c>
      <c r="AJ15" s="130" t="n">
        <v>0.00056848018</v>
      </c>
    </row>
    <row r="16" ht="16.5" customHeight="1" s="104">
      <c r="A16" s="19" t="n"/>
      <c r="B16" s="112" t="inlineStr">
        <is>
          <t>C ( mol/s)</t>
        </is>
      </c>
      <c r="C16" s="130" t="n">
        <v>0.004942859</v>
      </c>
      <c r="D16" s="130" t="n">
        <v>0.0057715714</v>
      </c>
      <c r="E16" s="130" t="n">
        <v>0.0065182408</v>
      </c>
      <c r="F16" s="130" t="n">
        <v>0.0071556656</v>
      </c>
      <c r="G16" s="130" t="n"/>
      <c r="H16" s="130" t="n">
        <v>0.0052014476</v>
      </c>
      <c r="I16" s="130" t="n">
        <v>0.0062508517</v>
      </c>
      <c r="J16" s="130" t="n">
        <v>0.0072138619</v>
      </c>
      <c r="K16" s="130" t="n">
        <v>0.0080359161</v>
      </c>
      <c r="L16" s="130" t="n"/>
      <c r="M16" s="131" t="n">
        <v>0.0049045673</v>
      </c>
      <c r="N16" s="130" t="n">
        <v>0.0060512809</v>
      </c>
      <c r="O16" s="130" t="n">
        <v>0.0071317599</v>
      </c>
      <c r="P16" s="130" t="n">
        <v>0.0081004236</v>
      </c>
      <c r="Q16" s="130" t="n"/>
      <c r="R16" s="130" t="n">
        <v>0.0043617431</v>
      </c>
      <c r="S16" s="130" t="n">
        <v>0.0055639056</v>
      </c>
      <c r="T16" s="130" t="n">
        <v>0.0067326744</v>
      </c>
      <c r="U16" s="130" t="n">
        <v>0.0078339369</v>
      </c>
      <c r="V16" s="129" t="n"/>
      <c r="W16" s="89" t="n">
        <v>0.0037004984</v>
      </c>
      <c r="X16" s="89" t="n">
        <v>0.0049449892</v>
      </c>
      <c r="Y16" s="89" t="n">
        <v>0.0061888209</v>
      </c>
      <c r="Z16" s="89" t="n">
        <v>0.0074070443</v>
      </c>
      <c r="AA16" s="130" t="n"/>
      <c r="AB16" s="130" t="n">
        <v>0.0030119117</v>
      </c>
      <c r="AC16" s="130" t="n">
        <v>0.0042798043</v>
      </c>
      <c r="AD16" s="130" t="n">
        <v>0.0055978462</v>
      </c>
      <c r="AE16" s="130" t="n">
        <v>0.006946658</v>
      </c>
      <c r="AF16" s="129" t="n"/>
      <c r="AG16" s="130" t="n">
        <v>0.0024589504</v>
      </c>
      <c r="AH16" s="130" t="n">
        <v>0.003704142</v>
      </c>
      <c r="AI16" s="130" t="n">
        <v>0.0051026409</v>
      </c>
      <c r="AJ16" s="130" t="n">
        <v>0.006625402</v>
      </c>
    </row>
    <row r="17" ht="16.5" customHeight="1" s="104">
      <c r="A17" s="13" t="n"/>
      <c r="B17" s="112" t="inlineStr">
        <is>
          <t>H2 (mol/s)</t>
        </is>
      </c>
      <c r="C17" s="130" t="n">
        <v>0.0044694993</v>
      </c>
      <c r="D17" s="130" t="n">
        <v>0.005618413</v>
      </c>
      <c r="E17" s="130" t="n">
        <v>0.0070203188</v>
      </c>
      <c r="F17" s="130" t="n">
        <v>0.008938171599999999</v>
      </c>
      <c r="G17" s="130" t="n"/>
      <c r="H17" s="130" t="n">
        <v>0.0057430903</v>
      </c>
      <c r="I17" s="130" t="n">
        <v>0.0072750337</v>
      </c>
      <c r="J17" s="130" t="n">
        <v>0.0090646676</v>
      </c>
      <c r="K17" s="130" t="n">
        <v>0.011283824</v>
      </c>
      <c r="L17" s="130" t="n"/>
      <c r="M17" s="131" t="n">
        <v>0.0066414624</v>
      </c>
      <c r="N17" s="130" t="n">
        <v>0.008417518000000001</v>
      </c>
      <c r="O17" s="130" t="n">
        <v>0.010402069</v>
      </c>
      <c r="P17" s="130" t="n">
        <v>0.012691795</v>
      </c>
      <c r="Q17" s="130" t="n"/>
      <c r="R17" s="130" t="n">
        <v>0.0072793537</v>
      </c>
      <c r="S17" s="130" t="n">
        <v>0.0092279157</v>
      </c>
      <c r="T17" s="130" t="n">
        <v>0.01134105</v>
      </c>
      <c r="U17" s="130" t="n">
        <v>0.013667856</v>
      </c>
      <c r="V17" s="129" t="n"/>
      <c r="W17" s="89" t="n">
        <v>0.007779333</v>
      </c>
      <c r="X17" s="89" t="n">
        <v>0.009849903700000001</v>
      </c>
      <c r="Y17" s="89" t="n">
        <v>0.012050748</v>
      </c>
      <c r="Z17" s="89" t="n">
        <v>0.014401035</v>
      </c>
      <c r="AA17" s="130" t="n"/>
      <c r="AB17" s="130" t="n">
        <v>0.008203800799999999</v>
      </c>
      <c r="AC17" s="130" t="n">
        <v>0.010375586</v>
      </c>
      <c r="AD17" s="130" t="n">
        <v>0.012632903</v>
      </c>
      <c r="AE17" s="130" t="n">
        <v>0.014972417</v>
      </c>
      <c r="AF17" s="129" t="n"/>
      <c r="AG17" s="130" t="n">
        <v>0.008508913599999999</v>
      </c>
      <c r="AH17" s="130" t="n">
        <v>0.010786431</v>
      </c>
      <c r="AI17" s="130" t="n">
        <v>0.013067828</v>
      </c>
      <c r="AJ17" s="130" t="n">
        <v>0.015332701</v>
      </c>
    </row>
    <row r="18" ht="16.5" customHeight="1" s="104">
      <c r="A18" s="29" t="inlineStr">
        <is>
          <t>OUT</t>
        </is>
      </c>
      <c r="B18" s="30" t="inlineStr">
        <is>
          <t>OUT Molar Flow (mol/s) =</t>
        </is>
      </c>
      <c r="C18" s="134">
        <f>SUM(C12:C17)</f>
        <v/>
      </c>
      <c r="D18" s="134">
        <f>SUM(D12:D17)</f>
        <v/>
      </c>
      <c r="E18" s="134">
        <f>SUM(E12:E17)</f>
        <v/>
      </c>
      <c r="F18" s="134">
        <f>SUM(F12:F17)</f>
        <v/>
      </c>
      <c r="G18" s="134" t="n"/>
      <c r="H18" s="134">
        <f>SUM(H12:H17)</f>
        <v/>
      </c>
      <c r="I18" s="134">
        <f>SUM(I12:I17)</f>
        <v/>
      </c>
      <c r="J18" s="134">
        <f>SUM(J12:J17)</f>
        <v/>
      </c>
      <c r="K18" s="134">
        <f>SUM(K12:K17)</f>
        <v/>
      </c>
      <c r="L18" s="134" t="n"/>
      <c r="M18" s="134">
        <f>SUM(M12:M17)</f>
        <v/>
      </c>
      <c r="N18" s="134">
        <f>SUM(N12:N17)</f>
        <v/>
      </c>
      <c r="O18" s="134">
        <f>SUM(O12:O17)</f>
        <v/>
      </c>
      <c r="P18" s="134">
        <f>SUM(P12:P17)</f>
        <v/>
      </c>
      <c r="Q18" s="134" t="n"/>
      <c r="R18" s="134">
        <f>SUM(R12:R17)</f>
        <v/>
      </c>
      <c r="S18" s="134">
        <f>SUM(S12:S17)</f>
        <v/>
      </c>
      <c r="T18" s="134">
        <f>SUM(T12:T17)</f>
        <v/>
      </c>
      <c r="U18" s="134">
        <f>SUM(U12:U17)</f>
        <v/>
      </c>
      <c r="V18" s="129" t="n"/>
      <c r="W18" s="134">
        <f>SUM(W12:W17)</f>
        <v/>
      </c>
      <c r="X18" s="134">
        <f>SUM(X12:X17)</f>
        <v/>
      </c>
      <c r="Y18" s="134">
        <f>SUM(Y12:Y17)</f>
        <v/>
      </c>
      <c r="Z18" s="134">
        <f>SUM(Z12:Z17)</f>
        <v/>
      </c>
      <c r="AA18" s="134" t="n"/>
      <c r="AB18" s="134">
        <f>SUM(AB12:AB17)</f>
        <v/>
      </c>
      <c r="AC18" s="134">
        <f>SUM(AC12:AC17)</f>
        <v/>
      </c>
      <c r="AD18" s="134">
        <f>SUM(AD12:AD17)</f>
        <v/>
      </c>
      <c r="AE18" s="134">
        <f>SUM(AE12:AE17)</f>
        <v/>
      </c>
      <c r="AF18" s="129" t="n"/>
      <c r="AG18" s="134">
        <f>SUM(AG12:AG17)</f>
        <v/>
      </c>
      <c r="AH18" s="134">
        <f>SUM(AH12:AH17)</f>
        <v/>
      </c>
      <c r="AI18" s="134">
        <f>SUM(AI12:AI17)</f>
        <v/>
      </c>
      <c r="AJ18" s="134">
        <f>SUM(AJ12:AJ17)</f>
        <v/>
      </c>
    </row>
    <row r="19" ht="16.5" customHeight="1" s="104">
      <c r="C19" s="135" t="n"/>
      <c r="D19" s="135" t="n"/>
      <c r="E19" s="135" t="n"/>
      <c r="F19" s="135" t="n"/>
      <c r="G19" s="135" t="n"/>
      <c r="H19" s="135" t="n"/>
      <c r="I19" s="135" t="n"/>
      <c r="J19" s="135" t="n"/>
      <c r="K19" s="135" t="n"/>
      <c r="L19" s="135" t="n"/>
      <c r="M19" s="135" t="n"/>
      <c r="N19" s="135" t="n"/>
      <c r="O19" s="135" t="n"/>
      <c r="P19" s="135" t="n"/>
      <c r="Q19" s="135" t="n"/>
      <c r="R19" s="135" t="n"/>
      <c r="S19" s="135" t="n"/>
      <c r="T19" s="135" t="n"/>
      <c r="U19" s="135" t="n"/>
      <c r="V19" s="129" t="n"/>
      <c r="W19" s="135" t="n"/>
      <c r="X19" s="135" t="n"/>
      <c r="Y19" s="135" t="n"/>
      <c r="Z19" s="135" t="n"/>
      <c r="AA19" s="135" t="n"/>
      <c r="AB19" s="135" t="n"/>
      <c r="AC19" s="135" t="n"/>
      <c r="AD19" s="135" t="n"/>
      <c r="AE19" s="135" t="n"/>
      <c r="AF19" s="129" t="n"/>
      <c r="AG19" s="135" t="n"/>
      <c r="AH19" s="135" t="n"/>
      <c r="AI19" s="135" t="n"/>
      <c r="AJ19" s="135" t="n"/>
    </row>
    <row r="20" ht="16.5" customHeight="1" s="104">
      <c r="A20" s="11" t="inlineStr">
        <is>
          <t>P</t>
        </is>
      </c>
      <c r="B20" t="inlineStr">
        <is>
          <t>Reaction Coordinate  DRM (mol/s)</t>
        </is>
      </c>
      <c r="C20" s="130" t="n">
        <v>1.31762e-06</v>
      </c>
      <c r="D20" s="130" t="n">
        <v>1.43994e-06</v>
      </c>
      <c r="E20" s="130" t="n">
        <v>1.50594e-06</v>
      </c>
      <c r="F20" s="130" t="n">
        <v>1.42284e-06</v>
      </c>
      <c r="G20" s="130" t="n"/>
      <c r="H20" s="130" t="n">
        <v>1.78385e-06</v>
      </c>
      <c r="I20" s="130" t="n">
        <v>2.0073e-06</v>
      </c>
      <c r="J20" s="130" t="n">
        <v>2.19836e-06</v>
      </c>
      <c r="K20" s="130" t="n">
        <v>2.35365e-06</v>
      </c>
      <c r="L20" s="130" t="n"/>
      <c r="M20" s="130" t="n">
        <v>2.14959e-06</v>
      </c>
      <c r="N20" s="130" t="n">
        <v>2.4727e-06</v>
      </c>
      <c r="O20" s="130" t="n">
        <v>2.78494e-06</v>
      </c>
      <c r="P20" s="130" t="n">
        <v>3.15483e-06</v>
      </c>
      <c r="Q20" s="130" t="n"/>
      <c r="R20" s="130" t="n">
        <v>2.35605e-06</v>
      </c>
      <c r="S20" s="130" t="n">
        <v>2.77399e-06</v>
      </c>
      <c r="T20" s="130" t="n">
        <v>3.18904e-06</v>
      </c>
      <c r="U20" s="130" t="n">
        <v>3.64769e-06</v>
      </c>
      <c r="V20" s="129" t="n"/>
      <c r="W20" s="133" t="n">
        <v>2.44038e-06</v>
      </c>
      <c r="X20" s="133" t="n">
        <v>2.90491e-06</v>
      </c>
      <c r="Y20" s="133" t="n">
        <v>3.37014e-06</v>
      </c>
      <c r="Z20" s="133" t="n">
        <v>3.85639e-06</v>
      </c>
      <c r="AA20" s="136" t="n"/>
      <c r="AB20" s="130" t="n">
        <v>2.47456e-06</v>
      </c>
      <c r="AC20" s="130" t="n">
        <v>2.95871e-06</v>
      </c>
      <c r="AD20" s="130" t="n">
        <v>3.44444e-06</v>
      </c>
      <c r="AE20" s="130" t="n">
        <v>3.94065e-06</v>
      </c>
      <c r="AF20" s="129" t="n"/>
      <c r="AG20" s="130" t="n">
        <v>2.48995e-06</v>
      </c>
      <c r="AH20" s="130" t="n">
        <v>2.98304e-06</v>
      </c>
      <c r="AI20" s="130" t="n">
        <v>3.47758e-06</v>
      </c>
      <c r="AJ20" s="130" t="n">
        <v>3.97633e-06</v>
      </c>
    </row>
    <row r="21" ht="16.5" customHeight="1" s="104">
      <c r="A21" s="13" t="n"/>
      <c r="B21" s="110" t="inlineStr">
        <is>
          <t xml:space="preserve">CH₄ + CO₂ ⇌ 2CO + 2H₂ </t>
        </is>
      </c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29" t="n"/>
      <c r="U21" s="129" t="n"/>
      <c r="V21" s="129" t="n"/>
      <c r="W21" s="137" t="n"/>
      <c r="X21" s="136" t="n"/>
      <c r="Y21" s="137" t="n"/>
      <c r="Z21" s="137" t="n"/>
      <c r="AA21" s="137" t="n"/>
      <c r="AB21" s="129" t="n"/>
      <c r="AC21" s="130" t="n"/>
      <c r="AD21" s="129" t="n"/>
      <c r="AE21" s="129" t="n"/>
      <c r="AF21" s="129" t="n"/>
      <c r="AG21" s="129" t="n"/>
      <c r="AH21" s="129" t="n"/>
      <c r="AI21" s="129" t="n"/>
      <c r="AJ21" s="129" t="n"/>
    </row>
    <row r="22" ht="16.5" customHeight="1" s="104">
      <c r="A22" s="13" t="inlineStr">
        <is>
          <t>R</t>
        </is>
      </c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35" t="n"/>
      <c r="N22" s="129" t="n"/>
      <c r="O22" s="129" t="n"/>
      <c r="P22" s="129" t="n"/>
      <c r="Q22" s="129" t="n"/>
      <c r="R22" s="135" t="n"/>
      <c r="S22" s="129" t="n"/>
      <c r="T22" s="129" t="n"/>
      <c r="U22" s="129" t="n"/>
      <c r="V22" s="129" t="n"/>
      <c r="W22" s="137" t="n"/>
      <c r="X22" s="136" t="n"/>
      <c r="Y22" s="137" t="n"/>
      <c r="Z22" s="137" t="n"/>
      <c r="AA22" s="137" t="n"/>
      <c r="AB22" s="129" t="n"/>
      <c r="AC22" s="130" t="n"/>
      <c r="AD22" s="129" t="n"/>
      <c r="AE22" s="129" t="n"/>
      <c r="AF22" s="129" t="n"/>
      <c r="AG22" s="129" t="n"/>
      <c r="AH22" s="129" t="n"/>
      <c r="AI22" s="129" t="n"/>
      <c r="AJ22" s="129" t="n"/>
    </row>
    <row r="23" ht="16.5" customHeight="1" s="104">
      <c r="A23" s="13" t="n"/>
      <c r="B23" t="inlineStr">
        <is>
          <t>Reaction Coordinate RWGS (mol/s)</t>
        </is>
      </c>
      <c r="C23" s="130" t="n">
        <v>2.14861e-06</v>
      </c>
      <c r="D23" s="130" t="n">
        <v>2.11274e-06</v>
      </c>
      <c r="E23" s="130" t="n">
        <v>1.95115e-06</v>
      </c>
      <c r="F23" s="130" t="n">
        <v>1.59516e-06</v>
      </c>
      <c r="G23" s="130" t="n"/>
      <c r="H23" s="130" t="n">
        <v>2.43698e-06</v>
      </c>
      <c r="I23" s="130" t="n">
        <v>2.32392e-06</v>
      </c>
      <c r="J23" s="130" t="n">
        <v>2.07065e-06</v>
      </c>
      <c r="K23" s="130" t="n">
        <v>1.62717e-06</v>
      </c>
      <c r="L23" s="130" t="n"/>
      <c r="M23" s="130" t="n">
        <v>2.70946e-06</v>
      </c>
      <c r="N23" s="130" t="n">
        <v>2.49786e-06</v>
      </c>
      <c r="O23" s="130" t="n">
        <v>2.14548e-06</v>
      </c>
      <c r="P23" s="130" t="n">
        <v>1.62934e-06</v>
      </c>
      <c r="Q23" s="130" t="n"/>
      <c r="R23" s="130" t="n">
        <v>3.02103e-06</v>
      </c>
      <c r="S23" s="130" t="n">
        <v>2.7139e-06</v>
      </c>
      <c r="T23" s="130" t="n">
        <v>2.2644e-06</v>
      </c>
      <c r="U23" s="130" t="n">
        <v>1.66938e-06</v>
      </c>
      <c r="V23" s="129" t="n"/>
      <c r="W23" s="133" t="n">
        <v>3.36311e-06</v>
      </c>
      <c r="X23" s="133" t="n">
        <v>2.96258e-06</v>
      </c>
      <c r="Y23" s="133" t="n">
        <v>2.41879e-06</v>
      </c>
      <c r="Z23" s="133" t="n">
        <v>1.7423e-06</v>
      </c>
      <c r="AA23" s="136" t="n"/>
      <c r="AB23" s="130" t="n">
        <v>3.70964e-06</v>
      </c>
      <c r="AC23" s="130" t="n">
        <v>3.22149e-06</v>
      </c>
      <c r="AD23" s="130" t="n">
        <v>2.58619e-06</v>
      </c>
      <c r="AE23" s="130" t="n">
        <v>1.8282e-06</v>
      </c>
      <c r="AF23" s="129" t="n"/>
      <c r="AG23" s="130" t="n">
        <v>3.99756e-06</v>
      </c>
      <c r="AH23" s="130" t="n">
        <v>3.44663e-06</v>
      </c>
      <c r="AI23" s="130" t="n">
        <v>2.72914e-06</v>
      </c>
      <c r="AJ23" s="130" t="n">
        <v>1.89367e-06</v>
      </c>
    </row>
    <row r="24" ht="16.5" customHeight="1" s="104">
      <c r="A24" s="13" t="inlineStr">
        <is>
          <t>F</t>
        </is>
      </c>
      <c r="B24" s="110" t="inlineStr">
        <is>
          <t xml:space="preserve">CO₂ + H₂ ⇌ CO + H₂O </t>
        </is>
      </c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9" t="n"/>
      <c r="U24" s="129" t="n"/>
      <c r="V24" s="129" t="n"/>
      <c r="W24" s="137" t="n"/>
      <c r="X24" s="137" t="n"/>
      <c r="Y24" s="137" t="n"/>
      <c r="Z24" s="137" t="n"/>
      <c r="AA24" s="137" t="n"/>
      <c r="AB24" s="129" t="n"/>
      <c r="AC24" s="129" t="n"/>
      <c r="AD24" s="129" t="n"/>
      <c r="AE24" s="129" t="n"/>
      <c r="AF24" s="129" t="n"/>
      <c r="AG24" s="129" t="n"/>
      <c r="AH24" s="129" t="n"/>
      <c r="AI24" s="129" t="n"/>
      <c r="AJ24" s="129" t="n"/>
    </row>
    <row r="25" ht="16.5" customHeight="1" s="104">
      <c r="A25" s="13" t="n"/>
      <c r="C25" s="129" t="n"/>
      <c r="D25" s="129" t="n"/>
      <c r="E25" s="129" t="n"/>
      <c r="F25" s="130" t="n"/>
      <c r="G25" s="130" t="n"/>
      <c r="H25" s="129" t="n"/>
      <c r="I25" s="129" t="n"/>
      <c r="J25" s="129" t="n"/>
      <c r="K25" s="129" t="n"/>
      <c r="L25" s="130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  <c r="V25" s="129" t="n"/>
      <c r="W25" s="137" t="n"/>
      <c r="X25" s="137" t="n"/>
      <c r="Y25" s="137" t="n"/>
      <c r="Z25" s="137" t="n"/>
      <c r="AA25" s="137" t="n"/>
      <c r="AB25" s="129" t="n"/>
      <c r="AC25" s="129" t="n"/>
      <c r="AD25" s="129" t="n"/>
      <c r="AE25" s="129" t="n"/>
      <c r="AF25" s="129" t="n"/>
      <c r="AG25" s="129" t="n"/>
      <c r="AH25" s="129" t="n"/>
      <c r="AI25" s="129" t="n"/>
      <c r="AJ25" s="129" t="n"/>
    </row>
    <row r="26" ht="16.5" customHeight="1" s="104">
      <c r="A26" s="13" t="n"/>
      <c r="B26" t="inlineStr">
        <is>
          <t>Reaction Coordinate DM (mol/s)</t>
        </is>
      </c>
      <c r="C26" s="130" t="n">
        <v>2.53603e-06</v>
      </c>
      <c r="D26" s="130" t="n">
        <v>3.06097e-06</v>
      </c>
      <c r="E26" s="130" t="n">
        <v>3.65729e-06</v>
      </c>
      <c r="F26" s="130" t="n">
        <v>4.47349e-06</v>
      </c>
      <c r="G26" s="130" t="n"/>
      <c r="H26" s="130" t="n">
        <v>2.67665e-06</v>
      </c>
      <c r="I26" s="130" t="n">
        <v>3.27597e-06</v>
      </c>
      <c r="J26" s="130" t="n">
        <v>3.91803e-06</v>
      </c>
      <c r="K26" s="130" t="n">
        <v>4.62865e-06</v>
      </c>
      <c r="L26" s="130" t="n"/>
      <c r="M26" s="130" t="n">
        <v>2.60224e-06</v>
      </c>
      <c r="N26" s="130" t="n">
        <v>3.18285e-06</v>
      </c>
      <c r="O26" s="130" t="n">
        <v>3.77483e-06</v>
      </c>
      <c r="P26" s="130" t="n">
        <v>4.31902e-06</v>
      </c>
      <c r="Q26" s="130" t="n"/>
      <c r="R26" s="130" t="n">
        <v>2.53132e-06</v>
      </c>
      <c r="S26" s="130" t="n">
        <v>3.06126e-06</v>
      </c>
      <c r="T26" s="130" t="n">
        <v>3.59034e-06</v>
      </c>
      <c r="U26" s="130" t="n">
        <v>4.07604e-06</v>
      </c>
      <c r="V26" s="129" t="n"/>
      <c r="W26" s="133" t="n">
        <v>2.50727e-06</v>
      </c>
      <c r="X26" s="133" t="n">
        <v>3.01425e-06</v>
      </c>
      <c r="Y26" s="133" t="n">
        <v>3.51598e-06</v>
      </c>
      <c r="Z26" s="133" t="n">
        <v>3.99374e-06</v>
      </c>
      <c r="AA26" s="136" t="n"/>
      <c r="AB26" s="130" t="n">
        <v>2.50056e-06</v>
      </c>
      <c r="AC26" s="130" t="n">
        <v>3.00025e-06</v>
      </c>
      <c r="AD26" s="130" t="n">
        <v>3.49454e-06</v>
      </c>
      <c r="AE26" s="130" t="n">
        <v>3.97511e-06</v>
      </c>
      <c r="AF26" s="129" t="n"/>
      <c r="AG26" s="130" t="n">
        <v>2.49852e-06</v>
      </c>
      <c r="AH26" s="130" t="n">
        <v>2.99603e-06</v>
      </c>
      <c r="AI26" s="130" t="n">
        <v>3.48895e-06</v>
      </c>
      <c r="AJ26" s="130" t="n">
        <v>3.97426e-06</v>
      </c>
    </row>
    <row r="27" ht="16.5" customHeight="1" s="104">
      <c r="A27" s="13" t="inlineStr">
        <is>
          <t>-</t>
        </is>
      </c>
      <c r="B27" s="110" t="inlineStr">
        <is>
          <t xml:space="preserve">CH₄ ⇌ C(s) + 2H₂ </t>
        </is>
      </c>
      <c r="C27" s="77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7" t="n"/>
      <c r="M27" s="77" t="n"/>
      <c r="N27" s="77" t="n"/>
      <c r="O27" s="77" t="n"/>
      <c r="P27" s="77" t="n"/>
      <c r="Q27" s="77" t="n"/>
      <c r="R27" s="77" t="n"/>
      <c r="S27" s="77" t="n"/>
      <c r="T27" s="77" t="n"/>
      <c r="U27" s="77" t="n"/>
      <c r="V27" s="77" t="n"/>
      <c r="W27" s="77" t="n"/>
      <c r="X27" s="77" t="n"/>
      <c r="Y27" s="77" t="n"/>
      <c r="Z27" s="77" t="n"/>
      <c r="AA27" s="77" t="n"/>
      <c r="AB27" s="77" t="n"/>
      <c r="AC27" s="77" t="n"/>
      <c r="AD27" s="77" t="n"/>
      <c r="AE27" s="77" t="n"/>
      <c r="AF27" s="77" t="n"/>
      <c r="AG27" s="77" t="n"/>
      <c r="AH27" s="77" t="n"/>
      <c r="AI27" s="77" t="n"/>
      <c r="AJ27" s="77" t="n"/>
    </row>
    <row r="28" ht="16.5" customHeight="1" s="104">
      <c r="A28" s="19" t="n"/>
      <c r="C28" s="77" t="n"/>
      <c r="D28" s="77" t="n"/>
      <c r="E28" s="77" t="n"/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</row>
    <row r="29" ht="16.5" customHeight="1" s="104">
      <c r="A29" s="13" t="n">
        <v>1</v>
      </c>
      <c r="B29" s="112" t="inlineStr">
        <is>
          <t>Convertion CH4 (%)</t>
        </is>
      </c>
      <c r="C29" s="101" t="n">
        <v>77.0731</v>
      </c>
      <c r="D29" s="101" t="n">
        <v>75.0151</v>
      </c>
      <c r="E29" s="101" t="n">
        <v>73.76049999999999</v>
      </c>
      <c r="F29" s="99" t="n">
        <v>73.7042</v>
      </c>
      <c r="G29" s="99" t="n"/>
      <c r="H29" s="101" t="n">
        <v>89.2101</v>
      </c>
      <c r="I29" s="101" t="n">
        <v>88.0545</v>
      </c>
      <c r="J29" s="101" t="n">
        <v>87.377</v>
      </c>
      <c r="K29" s="101" t="n">
        <v>87.2788</v>
      </c>
      <c r="L29" s="99" t="n"/>
      <c r="M29" s="101" t="n">
        <v>95.03660000000001</v>
      </c>
      <c r="N29" s="101" t="n">
        <v>94.25920000000001</v>
      </c>
      <c r="O29" s="101" t="n">
        <v>93.711</v>
      </c>
      <c r="P29" s="101" t="n">
        <v>93.42319999999999</v>
      </c>
      <c r="Q29" s="101" t="n"/>
      <c r="R29" s="101" t="n">
        <v>97.7475</v>
      </c>
      <c r="S29" s="101" t="n">
        <v>97.254</v>
      </c>
      <c r="T29" s="101" t="n">
        <v>96.84820000000001</v>
      </c>
      <c r="U29" s="101" t="n">
        <v>96.5466</v>
      </c>
      <c r="V29" s="100" t="n"/>
      <c r="W29" s="89" t="n">
        <v>98.9529</v>
      </c>
      <c r="X29" s="101" t="n">
        <v>98.65260000000001</v>
      </c>
      <c r="Y29" s="89" t="n">
        <v>98.37309999999999</v>
      </c>
      <c r="Z29" s="89" t="n">
        <v>98.1266</v>
      </c>
      <c r="AA29" s="101" t="n"/>
      <c r="AB29" s="101" t="n">
        <v>99.50239999999999</v>
      </c>
      <c r="AC29" s="101" t="n">
        <v>99.316</v>
      </c>
      <c r="AD29" s="101" t="n">
        <v>99.1283</v>
      </c>
      <c r="AE29" s="101" t="n">
        <v>98.947</v>
      </c>
      <c r="AF29" s="100" t="n"/>
      <c r="AG29" s="101" t="n">
        <v>99.76949999999999</v>
      </c>
      <c r="AH29" s="101" t="n">
        <v>99.6511</v>
      </c>
      <c r="AI29" s="101" t="n">
        <v>99.52200000000001</v>
      </c>
      <c r="AJ29" s="101" t="n">
        <v>99.3824</v>
      </c>
    </row>
    <row r="30" ht="16.5" customHeight="1" s="104">
      <c r="A30" s="20" t="n"/>
      <c r="B30" s="112" t="inlineStr">
        <is>
          <t>Convertion CO2 (%)</t>
        </is>
      </c>
      <c r="C30" s="101" t="n">
        <v>42.9723</v>
      </c>
      <c r="D30" s="101" t="n">
        <v>52.8184</v>
      </c>
      <c r="E30" s="101" t="n">
        <v>65.03830000000001</v>
      </c>
      <c r="F30" s="99" t="n">
        <v>79.758</v>
      </c>
      <c r="G30" s="99" t="n"/>
      <c r="H30" s="101" t="n">
        <v>48.7396</v>
      </c>
      <c r="I30" s="101" t="n">
        <v>58.0981</v>
      </c>
      <c r="J30" s="101" t="n">
        <v>69.02160000000001</v>
      </c>
      <c r="K30" s="101" t="n">
        <v>81.3587</v>
      </c>
      <c r="L30" s="99" t="n"/>
      <c r="M30" s="101" t="n">
        <v>54.1891</v>
      </c>
      <c r="N30" s="101" t="n">
        <v>62.4465</v>
      </c>
      <c r="O30" s="101" t="n">
        <v>71.51600000000001</v>
      </c>
      <c r="P30" s="101" t="n">
        <v>81.46720000000001</v>
      </c>
      <c r="Q30" s="101" t="n"/>
      <c r="R30" s="101" t="n">
        <v>60.4206</v>
      </c>
      <c r="S30" s="101" t="n">
        <v>67.8476</v>
      </c>
      <c r="T30" s="101" t="n">
        <v>75.4799</v>
      </c>
      <c r="U30" s="101" t="n">
        <v>83.4691</v>
      </c>
      <c r="V30" s="100" t="n"/>
      <c r="W30" s="89" t="n">
        <v>67.2621</v>
      </c>
      <c r="X30" s="101" t="n">
        <v>74.0645</v>
      </c>
      <c r="Y30" s="89" t="n">
        <v>80.6263</v>
      </c>
      <c r="Z30" s="89" t="n">
        <v>87.1152</v>
      </c>
      <c r="AA30" s="101" t="n"/>
      <c r="AB30" s="101" t="n">
        <v>74.19280000000001</v>
      </c>
      <c r="AC30" s="101" t="n">
        <v>80.5373</v>
      </c>
      <c r="AD30" s="101" t="n">
        <v>86.2064</v>
      </c>
      <c r="AE30" s="101" t="n">
        <v>91.40989999999999</v>
      </c>
      <c r="AF30" s="100" t="n"/>
      <c r="AG30" s="101" t="n">
        <v>79.9512</v>
      </c>
      <c r="AH30" s="101" t="n">
        <v>86.1658</v>
      </c>
      <c r="AI30" s="101" t="n">
        <v>90.97150000000001</v>
      </c>
      <c r="AJ30" s="101" t="n">
        <v>94.68340000000001</v>
      </c>
    </row>
    <row r="31" ht="16.5" customHeight="1" s="104">
      <c r="B31" s="112" t="inlineStr">
        <is>
          <t>Selec ( C )</t>
        </is>
      </c>
      <c r="C31" s="138">
        <f>C26/(C20+C26)</f>
        <v/>
      </c>
      <c r="D31" s="138">
        <f>D26/(D20+D26)</f>
        <v/>
      </c>
      <c r="E31" s="138">
        <f>E26/(E20+E26)</f>
        <v/>
      </c>
      <c r="F31" s="138">
        <f>F26/(F20+F26)</f>
        <v/>
      </c>
      <c r="G31" s="138" t="n"/>
      <c r="H31" s="138">
        <f>H26/(H20+H26)</f>
        <v/>
      </c>
      <c r="I31" s="138">
        <f>I26/(I20+I26)</f>
        <v/>
      </c>
      <c r="J31" s="138">
        <f>J26/(J20+J26)</f>
        <v/>
      </c>
      <c r="K31" s="138">
        <f>K26/(K20+K26)</f>
        <v/>
      </c>
      <c r="L31" s="138" t="n"/>
      <c r="M31" s="138">
        <f>M26/(M20+M26)</f>
        <v/>
      </c>
      <c r="N31" s="138">
        <f>N26/(N20+N26)</f>
        <v/>
      </c>
      <c r="O31" s="138">
        <f>O26/(O20+O26)</f>
        <v/>
      </c>
      <c r="P31" s="138">
        <f>P26/(P20+P26)</f>
        <v/>
      </c>
      <c r="Q31" s="138" t="n"/>
      <c r="R31" s="138">
        <f>R26/(R20+R26)</f>
        <v/>
      </c>
      <c r="S31" s="138">
        <f>S26/(S20+S26)</f>
        <v/>
      </c>
      <c r="T31" s="138">
        <f>T26/(T20+T26)</f>
        <v/>
      </c>
      <c r="U31" s="138">
        <f>U26/(U20+U26)</f>
        <v/>
      </c>
      <c r="V31" s="138" t="n"/>
      <c r="W31" s="138">
        <f>W26/(W20+W26)</f>
        <v/>
      </c>
      <c r="X31" s="138">
        <f>X26/(X20+X26)</f>
        <v/>
      </c>
      <c r="Y31" s="138">
        <f>Y26/(Y20+Y26)</f>
        <v/>
      </c>
      <c r="Z31" s="138">
        <f>Z26/(Z20+Z26)</f>
        <v/>
      </c>
      <c r="AA31" s="138" t="n"/>
      <c r="AB31" s="138">
        <f>AB26/(AB20+AB26)</f>
        <v/>
      </c>
      <c r="AC31" s="138">
        <f>AC26/(AC20+AC26)</f>
        <v/>
      </c>
      <c r="AD31" s="138">
        <f>AD26/(AD20+AD26)</f>
        <v/>
      </c>
      <c r="AE31" s="138">
        <f>AE26/(AE20+AE26)</f>
        <v/>
      </c>
      <c r="AF31" s="138" t="n"/>
      <c r="AG31" s="138">
        <f>AG26/(AG20+AG26)</f>
        <v/>
      </c>
      <c r="AH31" s="138">
        <f>AH26/(AH20+AH26)</f>
        <v/>
      </c>
      <c r="AI31" s="138">
        <f>AI26/(AI20+AI26)</f>
        <v/>
      </c>
      <c r="AJ31" s="138">
        <f>AJ26/(AJ20+AJ26)</f>
        <v/>
      </c>
    </row>
    <row r="32" ht="16.5" customHeight="1" s="104">
      <c r="B32" s="112" t="inlineStr">
        <is>
          <t>H2 / CO</t>
        </is>
      </c>
      <c r="C32" s="138">
        <f>C17/C14</f>
        <v/>
      </c>
      <c r="D32" s="138">
        <f>D17/D14</f>
        <v/>
      </c>
      <c r="E32" s="138">
        <f>E17/E14</f>
        <v/>
      </c>
      <c r="F32" s="138">
        <f>F17/F14</f>
        <v/>
      </c>
      <c r="G32" s="138" t="n"/>
      <c r="H32" s="138">
        <f>H17/H14</f>
        <v/>
      </c>
      <c r="I32" s="138">
        <f>I17/I14</f>
        <v/>
      </c>
      <c r="J32" s="138">
        <f>J17/J14</f>
        <v/>
      </c>
      <c r="K32" s="138">
        <f>K17/K14</f>
        <v/>
      </c>
      <c r="L32" s="138" t="n"/>
      <c r="M32" s="138">
        <f>M17/M14</f>
        <v/>
      </c>
      <c r="N32" s="138">
        <f>N17/N14</f>
        <v/>
      </c>
      <c r="O32" s="138">
        <f>O17/O14</f>
        <v/>
      </c>
      <c r="P32" s="138">
        <f>P17/P14</f>
        <v/>
      </c>
      <c r="Q32" s="138" t="n"/>
      <c r="R32" s="138">
        <f>R17/R14</f>
        <v/>
      </c>
      <c r="S32" s="138">
        <f>S17/S14</f>
        <v/>
      </c>
      <c r="T32" s="138">
        <f>T17/T14</f>
        <v/>
      </c>
      <c r="U32" s="138">
        <f>U17/U14</f>
        <v/>
      </c>
      <c r="V32" s="138" t="n"/>
      <c r="W32" s="138">
        <f>W17/W14</f>
        <v/>
      </c>
      <c r="X32" s="138">
        <f>X17/X14</f>
        <v/>
      </c>
      <c r="Y32" s="138">
        <f>Y17/Y14</f>
        <v/>
      </c>
      <c r="Z32" s="138">
        <f>Z17/Z14</f>
        <v/>
      </c>
      <c r="AA32" s="138" t="n"/>
      <c r="AB32" s="138">
        <f>AB17/AB14</f>
        <v/>
      </c>
      <c r="AC32" s="138">
        <f>AC17/AC14</f>
        <v/>
      </c>
      <c r="AD32" s="138">
        <f>AD17/AD14</f>
        <v/>
      </c>
      <c r="AE32" s="138" t="n">
        <v>6.717916</v>
      </c>
      <c r="AF32" s="138" t="n"/>
      <c r="AG32" s="138">
        <f>AG17/AG14</f>
        <v/>
      </c>
      <c r="AH32" s="138">
        <f>AH17/AH14</f>
        <v/>
      </c>
      <c r="AI32" s="138">
        <f>AI17/AI14</f>
        <v/>
      </c>
      <c r="AJ32" s="138">
        <f>AJ17/AJ14</f>
        <v/>
      </c>
    </row>
    <row r="33" ht="12.75" customHeight="1" s="104"/>
    <row r="34" ht="12.75" customHeight="1" s="104"/>
    <row r="35" ht="12.75" customHeight="1" s="104"/>
    <row r="37">
      <c r="B37" s="22" t="n"/>
    </row>
    <row r="38">
      <c r="C38" s="71" t="n"/>
      <c r="D38" s="71" t="n"/>
      <c r="E38" s="71" t="n"/>
      <c r="F38" s="71" t="n"/>
      <c r="G38" s="71" t="n"/>
      <c r="H38" s="71" t="n"/>
      <c r="I38" s="71" t="n"/>
      <c r="L38" s="71" t="n"/>
      <c r="N38" s="71" t="n"/>
      <c r="O38" s="71" t="n"/>
      <c r="P38" s="71" t="n"/>
      <c r="Q38" s="71" t="n"/>
      <c r="X38" s="71" t="n"/>
      <c r="Y38" s="71" t="n"/>
      <c r="AA38" s="71" t="n"/>
      <c r="AD38" s="71" t="n"/>
      <c r="AE38" s="71" t="n"/>
      <c r="AH38" s="71" t="n"/>
      <c r="AI38" s="71" t="n"/>
      <c r="AJ38" s="71" t="n"/>
    </row>
    <row r="39">
      <c r="B39" s="112" t="n"/>
      <c r="C39" s="139" t="n"/>
      <c r="D39" s="139" t="n"/>
      <c r="E39" s="140" t="n"/>
      <c r="F39" s="139" t="n"/>
      <c r="G39" s="139" t="n"/>
      <c r="H39" s="139" t="n"/>
      <c r="I39" s="139" t="n"/>
      <c r="L39" s="139" t="n"/>
      <c r="N39" s="139" t="n"/>
      <c r="O39" s="139" t="n"/>
      <c r="P39" s="139" t="n"/>
      <c r="Q39" s="139" t="n"/>
      <c r="V39" s="141" t="n"/>
      <c r="X39" s="139" t="n"/>
      <c r="Y39" s="139" t="n"/>
      <c r="AA39" s="139" t="n"/>
      <c r="AD39" s="139" t="n"/>
      <c r="AE39" s="139" t="n"/>
      <c r="AF39" s="141" t="n"/>
      <c r="AH39" s="139" t="n"/>
      <c r="AI39" s="139" t="n"/>
      <c r="AJ39" s="139" t="n"/>
    </row>
    <row r="40">
      <c r="B40" s="112" t="n"/>
      <c r="C40" s="139" t="n"/>
      <c r="D40" s="139" t="n"/>
      <c r="E40" s="140" t="n"/>
      <c r="F40" s="139" t="n"/>
      <c r="G40" s="139" t="n"/>
      <c r="H40" s="139" t="n"/>
      <c r="I40" s="139" t="n"/>
      <c r="L40" s="139" t="n"/>
      <c r="N40" s="139" t="n"/>
      <c r="O40" s="139" t="n"/>
      <c r="P40" s="139" t="n"/>
      <c r="Q40" s="139" t="n"/>
      <c r="V40" s="141" t="n"/>
      <c r="X40" s="139" t="n"/>
      <c r="Y40" s="139" t="n"/>
      <c r="AA40" s="139" t="n"/>
      <c r="AD40" s="139" t="n"/>
      <c r="AE40" s="139" t="n"/>
      <c r="AF40" s="141" t="n"/>
      <c r="AH40" s="139" t="n"/>
      <c r="AI40" s="139" t="n"/>
      <c r="AJ40" s="139" t="n"/>
    </row>
    <row r="41">
      <c r="B41" s="112" t="n"/>
      <c r="C41" s="139" t="n"/>
      <c r="D41" s="139" t="n"/>
      <c r="E41" s="140" t="n"/>
      <c r="F41" s="139" t="n"/>
      <c r="G41" s="139" t="n"/>
      <c r="H41" s="139" t="n"/>
      <c r="I41" s="139" t="n"/>
      <c r="L41" s="139" t="n"/>
      <c r="N41" s="139" t="n"/>
      <c r="O41" s="139" t="n"/>
      <c r="P41" s="139" t="n"/>
      <c r="Q41" s="139" t="n"/>
      <c r="V41" s="141" t="n"/>
      <c r="X41" s="139" t="n"/>
      <c r="Y41" s="139" t="n"/>
      <c r="AA41" s="139" t="n"/>
      <c r="AD41" s="139" t="n"/>
      <c r="AE41" s="139" t="n"/>
      <c r="AF41" s="141" t="n"/>
      <c r="AH41" s="139" t="n"/>
      <c r="AI41" s="139" t="n"/>
      <c r="AJ41" s="139" t="n"/>
    </row>
    <row r="42" s="104">
      <c r="B42" s="112" t="n"/>
      <c r="C42" s="139" t="n"/>
      <c r="D42" s="139" t="n"/>
      <c r="E42" s="140" t="n"/>
      <c r="F42" s="139" t="n"/>
      <c r="G42" s="139" t="n"/>
      <c r="H42" s="139" t="n"/>
      <c r="I42" s="139" t="n"/>
      <c r="L42" s="139" t="n"/>
      <c r="N42" s="139" t="n"/>
      <c r="O42" s="139" t="n"/>
      <c r="P42" s="139" t="n"/>
      <c r="Q42" s="139" t="n"/>
      <c r="V42" s="141" t="n"/>
      <c r="X42" s="139" t="n"/>
      <c r="Y42" s="139" t="n"/>
      <c r="AA42" s="139" t="n"/>
      <c r="AD42" s="139" t="n"/>
      <c r="AE42" s="139" t="n"/>
      <c r="AF42" s="141" t="n"/>
      <c r="AH42" s="139" t="n"/>
      <c r="AI42" s="139" t="n"/>
      <c r="AJ42" s="139" t="n"/>
    </row>
    <row r="43">
      <c r="B43" s="112" t="n"/>
      <c r="C43" s="139" t="n"/>
      <c r="D43" s="139" t="n"/>
      <c r="E43" s="140" t="n"/>
      <c r="F43" s="139" t="n"/>
      <c r="G43" s="139" t="n"/>
      <c r="H43" s="139" t="n"/>
      <c r="I43" s="139" t="n"/>
      <c r="L43" s="139" t="n"/>
      <c r="N43" s="139" t="n"/>
      <c r="O43" s="139" t="n"/>
      <c r="P43" s="139" t="n"/>
      <c r="Q43" s="139" t="n"/>
      <c r="V43" s="141" t="n"/>
      <c r="X43" s="139" t="n"/>
      <c r="Y43" s="139" t="n"/>
      <c r="AA43" s="139" t="n"/>
      <c r="AD43" s="139" t="n"/>
      <c r="AE43" s="139" t="n"/>
      <c r="AF43" s="141" t="n"/>
      <c r="AH43" s="139" t="n"/>
      <c r="AI43" s="139" t="n"/>
      <c r="AJ43" s="139" t="n"/>
    </row>
    <row r="45">
      <c r="C45" s="55" t="n"/>
    </row>
    <row r="54">
      <c r="B54" s="1" t="n"/>
    </row>
    <row r="56">
      <c r="B56" s="1" t="n"/>
    </row>
    <row r="57">
      <c r="B57" s="1" t="n"/>
    </row>
    <row r="58">
      <c r="B58" s="1" t="n"/>
    </row>
    <row r="59">
      <c r="B59" s="1" t="n"/>
    </row>
    <row r="60">
      <c r="B60" s="53" t="n"/>
    </row>
    <row r="61">
      <c r="B61" s="52" t="n"/>
    </row>
    <row r="62">
      <c r="B62" s="52" t="n"/>
    </row>
    <row r="63">
      <c r="B63" s="52" t="n"/>
    </row>
  </sheetData>
  <pageMargins left="0.39375" right="0.39375" top="0.7875" bottom="0.7875" header="0.511811023622047" footer="0.511811023622047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5"/>
  <sheetViews>
    <sheetView zoomScale="83" zoomScaleNormal="83" workbookViewId="0">
      <selection activeCell="J9" sqref="J9"/>
    </sheetView>
  </sheetViews>
  <sheetFormatPr baseColWidth="8" defaultColWidth="11.5703125" defaultRowHeight="12.75"/>
  <cols>
    <col width="6.5703125" customWidth="1" style="104" min="1" max="1"/>
    <col width="30.7109375" customWidth="1" style="104" min="2" max="2"/>
    <col width="12.7109375" customWidth="1" style="104" min="3" max="6"/>
    <col width="2" customWidth="1" style="104" min="7" max="7"/>
    <col width="12.7109375" customWidth="1" style="104" min="8" max="11"/>
    <col width="2" customWidth="1" style="104" min="12" max="12"/>
    <col width="12.7109375" customWidth="1" style="104" min="13" max="16"/>
    <col width="2" customWidth="1" style="104" min="17" max="17"/>
    <col width="12.7109375" customWidth="1" style="104" min="18" max="21"/>
    <col width="2" customWidth="1" style="104" min="22" max="22"/>
    <col width="12.7109375" customWidth="1" style="104" min="23" max="26"/>
    <col width="2" customWidth="1" style="104" min="27" max="27"/>
    <col width="12.7109375" customWidth="1" style="104" min="28" max="31"/>
    <col width="2" customWidth="1" style="104" min="32" max="32"/>
    <col width="12.7109375" customWidth="1" style="104" min="33" max="36"/>
  </cols>
  <sheetData>
    <row r="1" ht="12.75" customHeight="1" s="104"/>
    <row r="2" ht="12.75" customHeight="1" s="104">
      <c r="A2" s="11" t="n"/>
      <c r="B2" s="112" t="inlineStr">
        <is>
          <t>Temperatura ( K ) =</t>
        </is>
      </c>
      <c r="C2" s="71" t="inlineStr">
        <is>
          <t>823 K</t>
        </is>
      </c>
      <c r="D2" s="71" t="inlineStr">
        <is>
          <t>823 K</t>
        </is>
      </c>
      <c r="E2" s="71" t="inlineStr">
        <is>
          <t>823 K</t>
        </is>
      </c>
      <c r="F2" s="71" t="inlineStr">
        <is>
          <t>823 K</t>
        </is>
      </c>
      <c r="G2" s="113" t="n"/>
      <c r="H2" s="71" t="inlineStr">
        <is>
          <t>873K</t>
        </is>
      </c>
      <c r="I2" s="71" t="inlineStr">
        <is>
          <t>873K</t>
        </is>
      </c>
      <c r="J2" s="71" t="inlineStr">
        <is>
          <t>873K</t>
        </is>
      </c>
      <c r="K2" s="71" t="inlineStr">
        <is>
          <t>873K</t>
        </is>
      </c>
      <c r="L2" s="113" t="n"/>
      <c r="M2" s="71" t="inlineStr">
        <is>
          <t>923 K</t>
        </is>
      </c>
      <c r="N2" s="71" t="inlineStr">
        <is>
          <t>923 K</t>
        </is>
      </c>
      <c r="O2" s="71" t="inlineStr">
        <is>
          <t>923 K</t>
        </is>
      </c>
      <c r="P2" s="71" t="inlineStr">
        <is>
          <t>923 K</t>
        </is>
      </c>
      <c r="R2" s="71" t="inlineStr">
        <is>
          <t>973 K</t>
        </is>
      </c>
      <c r="S2" s="71" t="inlineStr">
        <is>
          <t>973 K</t>
        </is>
      </c>
      <c r="T2" s="71" t="inlineStr">
        <is>
          <t>973 K</t>
        </is>
      </c>
      <c r="U2" s="71" t="inlineStr">
        <is>
          <t>973 K</t>
        </is>
      </c>
      <c r="W2" s="71" t="inlineStr">
        <is>
          <t>1023 K</t>
        </is>
      </c>
      <c r="X2" s="71" t="inlineStr">
        <is>
          <t>1023 K</t>
        </is>
      </c>
      <c r="Y2" s="71" t="inlineStr">
        <is>
          <t>1023 K</t>
        </is>
      </c>
      <c r="Z2" s="71" t="inlineStr">
        <is>
          <t>1023 K</t>
        </is>
      </c>
      <c r="AB2" s="71" t="inlineStr">
        <is>
          <t>1073 K</t>
        </is>
      </c>
      <c r="AC2" s="71" t="inlineStr">
        <is>
          <t>1073 K</t>
        </is>
      </c>
      <c r="AD2" s="71" t="n"/>
      <c r="AE2" s="71" t="n"/>
      <c r="AG2" s="71" t="n"/>
      <c r="AH2" s="71" t="n"/>
      <c r="AI2" s="71" t="n"/>
      <c r="AJ2" s="71" t="n"/>
    </row>
    <row r="3" ht="12.75" customHeight="1" s="104">
      <c r="A3" s="13" t="inlineStr">
        <is>
          <t>F</t>
        </is>
      </c>
      <c r="B3" s="112" t="inlineStr">
        <is>
          <t>Pressão ( Pa ) =</t>
        </is>
      </c>
      <c r="C3" t="n">
        <v>506625</v>
      </c>
      <c r="D3" t="n">
        <v>506625</v>
      </c>
      <c r="E3" t="n">
        <v>506625</v>
      </c>
      <c r="F3" t="n">
        <v>506625</v>
      </c>
      <c r="H3" t="n">
        <v>506625</v>
      </c>
      <c r="I3" t="n">
        <v>506625</v>
      </c>
      <c r="J3" t="n">
        <v>506625</v>
      </c>
      <c r="K3" t="n">
        <v>506625</v>
      </c>
      <c r="M3" t="n">
        <v>506625</v>
      </c>
      <c r="N3" t="n">
        <v>506625</v>
      </c>
      <c r="O3" t="n">
        <v>506625</v>
      </c>
      <c r="P3" t="n">
        <v>506625</v>
      </c>
      <c r="R3" t="n">
        <v>506625</v>
      </c>
      <c r="S3" t="n">
        <v>506625</v>
      </c>
      <c r="T3" t="n">
        <v>506625</v>
      </c>
      <c r="U3" t="n">
        <v>506625</v>
      </c>
      <c r="W3" t="n">
        <v>506625</v>
      </c>
      <c r="X3" t="n">
        <v>506625</v>
      </c>
      <c r="Y3" t="n">
        <v>506625</v>
      </c>
      <c r="Z3" t="n">
        <v>506625</v>
      </c>
      <c r="AB3" t="n">
        <v>506625</v>
      </c>
      <c r="AC3" t="n">
        <v>506625</v>
      </c>
    </row>
    <row r="4" ht="12.75" customHeight="1" s="104">
      <c r="A4" s="13" t="inlineStr">
        <is>
          <t>E</t>
        </is>
      </c>
      <c r="B4" s="112" t="inlineStr">
        <is>
          <t>“BIOGAS” Flow (mol/s) =</t>
        </is>
      </c>
      <c r="C4" t="n">
        <v>0.01</v>
      </c>
      <c r="D4" t="n">
        <v>0.01</v>
      </c>
      <c r="E4" t="n">
        <v>0.01</v>
      </c>
      <c r="F4" t="n">
        <v>0.01</v>
      </c>
      <c r="H4" t="n">
        <v>0.01</v>
      </c>
      <c r="I4" t="n">
        <v>0.01</v>
      </c>
      <c r="J4" t="n">
        <v>0.01</v>
      </c>
      <c r="K4" t="n">
        <v>0.01</v>
      </c>
      <c r="M4" t="n">
        <v>0.01</v>
      </c>
      <c r="N4" t="n">
        <v>0.01</v>
      </c>
      <c r="O4" t="n">
        <v>0.01</v>
      </c>
      <c r="P4" t="n">
        <v>0.01</v>
      </c>
      <c r="R4" t="n">
        <v>0.01</v>
      </c>
      <c r="S4" t="n">
        <v>0.01</v>
      </c>
      <c r="T4" t="n">
        <v>0.01</v>
      </c>
      <c r="U4" t="n">
        <v>0.01</v>
      </c>
      <c r="W4" t="n">
        <v>0.01</v>
      </c>
      <c r="X4" t="n">
        <v>0.01</v>
      </c>
      <c r="Y4" t="n">
        <v>0.01</v>
      </c>
      <c r="Z4" t="n">
        <v>0.01</v>
      </c>
      <c r="AB4" t="n">
        <v>0.01</v>
      </c>
      <c r="AC4" t="n">
        <v>0.01</v>
      </c>
    </row>
    <row r="5" ht="12.75" customHeight="1" s="104">
      <c r="A5" s="13" t="inlineStr">
        <is>
          <t>E</t>
        </is>
      </c>
    </row>
    <row r="6" ht="12.75" customHeight="1" s="104">
      <c r="A6" s="13" t="inlineStr">
        <is>
          <t>D</t>
        </is>
      </c>
      <c r="B6" s="22" t="inlineStr">
        <is>
          <t>Basis: MOLAR FRACTION</t>
        </is>
      </c>
    </row>
    <row r="7" ht="12.75" customHeight="1" s="104">
      <c r="A7" s="13" t="n"/>
      <c r="B7" s="112" t="inlineStr">
        <is>
          <t>CH4/CO2 =</t>
        </is>
      </c>
      <c r="C7" t="n">
        <v>1</v>
      </c>
      <c r="D7" t="n">
        <v>1</v>
      </c>
      <c r="E7" t="n">
        <v>1</v>
      </c>
      <c r="F7" t="n">
        <v>1</v>
      </c>
      <c r="H7" t="n">
        <v>1</v>
      </c>
      <c r="I7" t="n">
        <v>1</v>
      </c>
      <c r="J7" t="n">
        <v>1</v>
      </c>
      <c r="K7" t="n">
        <v>1</v>
      </c>
      <c r="M7" t="n">
        <v>1</v>
      </c>
      <c r="N7" t="n">
        <v>1</v>
      </c>
      <c r="O7" t="n">
        <v>1</v>
      </c>
      <c r="P7" t="n">
        <v>1</v>
      </c>
      <c r="R7" t="n">
        <v>1</v>
      </c>
      <c r="S7" t="n">
        <v>1</v>
      </c>
      <c r="T7" t="n">
        <v>1</v>
      </c>
      <c r="U7" t="n">
        <v>1</v>
      </c>
      <c r="W7" t="n">
        <v>1</v>
      </c>
      <c r="X7" t="n">
        <v>1</v>
      </c>
      <c r="Y7" t="n">
        <v>1</v>
      </c>
      <c r="Z7" t="n">
        <v>1</v>
      </c>
      <c r="AB7" t="n">
        <v>1</v>
      </c>
      <c r="AC7" t="n">
        <v>1</v>
      </c>
    </row>
    <row r="8" ht="12.75" customHeight="1" s="104">
      <c r="A8" s="23" t="inlineStr">
        <is>
          <t>IN</t>
        </is>
      </c>
      <c r="B8" s="112" t="inlineStr">
        <is>
          <t>CH4 (fração molar) =</t>
        </is>
      </c>
      <c r="C8">
        <f>C7/(1+C7)</f>
        <v/>
      </c>
      <c r="D8" t="n">
        <v>0.6</v>
      </c>
      <c r="E8" t="n">
        <v>0.7</v>
      </c>
      <c r="F8" t="n">
        <v>0.8</v>
      </c>
      <c r="H8">
        <f>H7/(1+H7)</f>
        <v/>
      </c>
      <c r="I8" t="n">
        <v>0.6</v>
      </c>
      <c r="J8" t="n">
        <v>0.7</v>
      </c>
      <c r="K8" t="n">
        <v>0.8</v>
      </c>
      <c r="M8">
        <f>M7/(1+M7)</f>
        <v/>
      </c>
      <c r="N8" t="n">
        <v>0.6</v>
      </c>
      <c r="O8" t="n">
        <v>0.7</v>
      </c>
      <c r="P8" t="n">
        <v>0.8</v>
      </c>
      <c r="R8">
        <f>R7/(1+R7)</f>
        <v/>
      </c>
      <c r="S8" t="n">
        <v>0.6</v>
      </c>
      <c r="T8" t="n">
        <v>0.7</v>
      </c>
      <c r="U8" t="n">
        <v>0.8</v>
      </c>
      <c r="W8">
        <f>W7/(1+W7)</f>
        <v/>
      </c>
      <c r="X8" t="n">
        <v>0.6</v>
      </c>
      <c r="Y8" t="n">
        <v>0.7</v>
      </c>
      <c r="Z8" t="n">
        <v>0.8</v>
      </c>
      <c r="AB8">
        <f>AB7/(1+AB7)</f>
        <v/>
      </c>
      <c r="AC8" t="n">
        <v>0.6</v>
      </c>
    </row>
    <row r="9" ht="12.75" customHeight="1" s="104">
      <c r="A9" s="14" t="n"/>
      <c r="B9" s="112" t="inlineStr">
        <is>
          <t>CO2 (fração molar) =</t>
        </is>
      </c>
      <c r="C9">
        <f>1/(1+C7)</f>
        <v/>
      </c>
      <c r="D9" t="n">
        <v>0.4</v>
      </c>
      <c r="E9" t="n">
        <v>0.3</v>
      </c>
      <c r="F9" t="n">
        <v>0.2</v>
      </c>
      <c r="H9">
        <f>1/(1+H7)</f>
        <v/>
      </c>
      <c r="I9" t="n">
        <v>0.4</v>
      </c>
      <c r="J9" t="n">
        <v>0.3</v>
      </c>
      <c r="K9" t="n">
        <v>0.2</v>
      </c>
      <c r="M9">
        <f>1/(1+M7)</f>
        <v/>
      </c>
      <c r="N9" t="n">
        <v>0.4</v>
      </c>
      <c r="O9" t="n">
        <v>0.3</v>
      </c>
      <c r="P9" t="n">
        <v>0.2</v>
      </c>
      <c r="R9">
        <f>1/(1+R7)</f>
        <v/>
      </c>
      <c r="S9" t="n">
        <v>0.4</v>
      </c>
      <c r="T9" t="n">
        <v>0.3</v>
      </c>
      <c r="U9" t="n">
        <v>0.2</v>
      </c>
      <c r="W9">
        <f>1/(1+W7)</f>
        <v/>
      </c>
      <c r="X9" t="n">
        <v>0.4</v>
      </c>
      <c r="Y9" t="n">
        <v>0.3</v>
      </c>
      <c r="Z9" t="n">
        <v>0.2</v>
      </c>
      <c r="AB9">
        <f>1/(1+AB7)</f>
        <v/>
      </c>
      <c r="AC9" t="n">
        <v>0.4</v>
      </c>
    </row>
    <row r="10" ht="12.75" customHeight="1" s="104">
      <c r="C10" s="113" t="n"/>
      <c r="D10" s="113" t="n"/>
      <c r="E10" s="113" t="n"/>
      <c r="F10" s="113" t="n"/>
      <c r="G10" s="113" t="n"/>
      <c r="H10" s="113" t="n"/>
      <c r="I10" s="113" t="n"/>
      <c r="J10" s="113" t="n"/>
      <c r="K10" s="113" t="n"/>
      <c r="L10" s="113" t="n"/>
      <c r="M10" s="113" t="n"/>
      <c r="N10" s="113" t="n"/>
      <c r="O10" s="113" t="n"/>
      <c r="P10" s="113" t="n"/>
      <c r="R10" s="113" t="n"/>
      <c r="S10" s="113" t="n"/>
      <c r="T10" s="113" t="n"/>
      <c r="U10" s="113" t="n"/>
      <c r="W10" s="113" t="n"/>
      <c r="X10" s="113" t="n"/>
      <c r="Y10" s="113" t="n"/>
      <c r="Z10" s="113" t="n"/>
      <c r="AB10" s="113" t="n"/>
      <c r="AC10" s="113" t="n"/>
      <c r="AD10" s="113" t="n"/>
      <c r="AE10" s="113" t="n"/>
      <c r="AG10" s="113" t="n"/>
      <c r="AH10" s="113" t="n"/>
      <c r="AI10" s="113" t="n"/>
      <c r="AJ10" s="113" t="n"/>
    </row>
    <row r="11" ht="12.75" customHeight="1" s="104">
      <c r="A11" s="24" t="n"/>
      <c r="B11" s="22" t="inlineStr">
        <is>
          <t>Basis: MOLAR FLOW</t>
        </is>
      </c>
      <c r="C11" s="71" t="n"/>
      <c r="D11" s="71" t="n"/>
      <c r="E11" s="71" t="n"/>
      <c r="F11" s="71" t="n"/>
      <c r="G11" s="113" t="n"/>
      <c r="H11" s="71" t="n"/>
      <c r="I11" s="71" t="n"/>
      <c r="J11" s="71" t="n"/>
      <c r="K11" s="71" t="n"/>
      <c r="L11" s="113" t="n"/>
      <c r="M11" s="71" t="n"/>
      <c r="N11" s="71" t="n"/>
      <c r="O11" s="71" t="n"/>
      <c r="P11" s="71" t="n"/>
      <c r="R11" s="71" t="n"/>
      <c r="S11" s="71" t="n"/>
      <c r="T11" s="71" t="n"/>
      <c r="U11" s="71" t="n"/>
      <c r="W11" s="71" t="n"/>
      <c r="X11" s="71" t="n"/>
      <c r="Y11" s="71" t="n"/>
      <c r="Z11" s="71" t="n"/>
      <c r="AB11" s="71" t="n"/>
      <c r="AC11" s="71" t="n"/>
      <c r="AD11" s="71" t="n"/>
      <c r="AE11" s="71" t="n"/>
      <c r="AG11" s="71" t="n"/>
      <c r="AH11" s="71" t="n"/>
      <c r="AI11" s="71" t="n"/>
      <c r="AJ11" s="71" t="n"/>
    </row>
    <row r="12" ht="12.75" customHeight="1" s="104">
      <c r="A12" s="13" t="inlineStr">
        <is>
          <t>P</t>
        </is>
      </c>
      <c r="B12" s="112" t="inlineStr">
        <is>
          <t>CH4 ( mol/s )</t>
        </is>
      </c>
      <c r="C12" s="110" t="n">
        <v>0.0027179401</v>
      </c>
      <c r="D12" s="110" t="n">
        <v>0.0034390167</v>
      </c>
      <c r="E12" s="110" t="n">
        <v>0.0041607101</v>
      </c>
      <c r="F12" s="106" t="n">
        <v>0.0048309868</v>
      </c>
      <c r="G12" s="139" t="n"/>
      <c r="H12" s="110" t="n">
        <v>0.0018645337</v>
      </c>
      <c r="I12" s="110" t="n">
        <v>0.0023809362</v>
      </c>
      <c r="J12" s="110" t="n">
        <v>0.0028728094</v>
      </c>
      <c r="K12" s="110" t="n">
        <v>0.0032712267</v>
      </c>
      <c r="L12" s="139" t="n"/>
      <c r="M12" s="110" t="n">
        <v>0.001164953</v>
      </c>
      <c r="N12" s="110" t="n">
        <v>0.0015261203</v>
      </c>
      <c r="O12" s="110" t="n">
        <v>0.0018662424</v>
      </c>
      <c r="P12" s="110" t="n">
        <v>0.0021355384</v>
      </c>
      <c r="Q12" s="141" t="n"/>
      <c r="R12" s="110" t="n">
        <v>0.00066570309</v>
      </c>
      <c r="S12" s="110" t="n">
        <v>0.00090347525</v>
      </c>
      <c r="T12" s="110" t="n">
        <v>0.0011320809</v>
      </c>
      <c r="U12" s="110" t="n">
        <v>0.0013226469</v>
      </c>
      <c r="V12" s="141" t="n"/>
      <c r="W12" s="110" t="n">
        <v>0.00035941981</v>
      </c>
      <c r="X12" s="110" t="n">
        <v>0.0005104221</v>
      </c>
      <c r="Y12" s="110" t="n">
        <v>0.00066222161</v>
      </c>
      <c r="Z12" s="110" t="n">
        <v>0.0007991336500000001</v>
      </c>
      <c r="AA12" s="141" t="n"/>
      <c r="AB12" s="110" t="n">
        <v>0.00018898094</v>
      </c>
      <c r="AC12" s="110" t="n">
        <v>0.00028319378</v>
      </c>
      <c r="AD12" s="139" t="n"/>
      <c r="AE12" s="139" t="n"/>
      <c r="AF12" s="141" t="n"/>
      <c r="AG12" s="139" t="n"/>
      <c r="AH12" s="139" t="n"/>
      <c r="AI12" s="139" t="n"/>
      <c r="AJ12" s="139" t="n"/>
    </row>
    <row r="13" ht="12.75" customHeight="1" s="104">
      <c r="A13" s="13" t="inlineStr">
        <is>
          <t>R</t>
        </is>
      </c>
      <c r="B13" s="112" t="inlineStr">
        <is>
          <t>CO2 ( mol/s)</t>
        </is>
      </c>
      <c r="C13" s="110" t="n">
        <v>0.0033505572</v>
      </c>
      <c r="D13" s="110" t="n">
        <v>0.002343043</v>
      </c>
      <c r="E13" s="110" t="n">
        <v>0.0014001464</v>
      </c>
      <c r="F13" s="106" t="n">
        <v>0.00056977428</v>
      </c>
      <c r="G13" s="139" t="n"/>
      <c r="H13" s="110" t="n">
        <v>0.0028960407</v>
      </c>
      <c r="I13" s="110" t="n">
        <v>0.0019159856</v>
      </c>
      <c r="J13" s="110" t="n">
        <v>0.0010404176</v>
      </c>
      <c r="K13" s="110" t="n">
        <v>0.00035613759</v>
      </c>
      <c r="L13" s="139" t="n"/>
      <c r="M13" s="110" t="n">
        <v>0.002536607</v>
      </c>
      <c r="N13" s="110" t="n">
        <v>0.0016393093</v>
      </c>
      <c r="O13" s="110" t="n">
        <v>0.00087584487</v>
      </c>
      <c r="P13" s="110" t="n">
        <v>0.00031441492</v>
      </c>
      <c r="Q13" s="141" t="n"/>
      <c r="R13" s="110" t="n">
        <v>0.0022291261</v>
      </c>
      <c r="S13" s="110" t="n">
        <v>0.0014280125</v>
      </c>
      <c r="T13" s="110" t="n">
        <v>0.00077266025</v>
      </c>
      <c r="U13" s="110" t="n">
        <v>0.00030062318</v>
      </c>
      <c r="V13" s="141" t="n"/>
      <c r="W13" s="110" t="n">
        <v>0.0019432788</v>
      </c>
      <c r="X13" s="110" t="n">
        <v>0.0012369142</v>
      </c>
      <c r="Y13" s="110" t="n">
        <v>0.00067915664</v>
      </c>
      <c r="Z13" s="110" t="n">
        <v>0.00028161467</v>
      </c>
      <c r="AA13" s="141" t="n"/>
      <c r="AB13" s="110" t="n">
        <v>0.0016677844</v>
      </c>
      <c r="AC13" s="110" t="n">
        <v>0.0010474315</v>
      </c>
      <c r="AD13" s="139" t="n"/>
      <c r="AE13" s="139" t="n"/>
      <c r="AF13" s="141" t="n"/>
      <c r="AG13" s="139" t="n"/>
      <c r="AH13" s="139" t="n"/>
      <c r="AI13" s="139" t="n"/>
      <c r="AJ13" s="139" t="n"/>
    </row>
    <row r="14" ht="12.75" customHeight="1" s="104">
      <c r="A14" s="13" t="inlineStr">
        <is>
          <t>O</t>
        </is>
      </c>
      <c r="B14" s="112" t="inlineStr">
        <is>
          <t>CO (mol/s)</t>
        </is>
      </c>
      <c r="C14" s="110" t="n">
        <v>0.00066557716</v>
      </c>
      <c r="D14" s="110" t="n">
        <v>0.00053531245</v>
      </c>
      <c r="E14" s="110" t="n">
        <v>0.00038606271</v>
      </c>
      <c r="F14" s="106" t="n">
        <v>0.00021502447</v>
      </c>
      <c r="G14" s="139" t="n"/>
      <c r="H14" s="110" t="n">
        <v>0.0010515984</v>
      </c>
      <c r="I14" s="110" t="n">
        <v>0.00081901245</v>
      </c>
      <c r="J14" s="110" t="n">
        <v>0.00055751329</v>
      </c>
      <c r="K14" s="110" t="n">
        <v>0.00028134151</v>
      </c>
      <c r="L14" s="139" t="n"/>
      <c r="M14" s="110" t="n">
        <v>0.0015989866</v>
      </c>
      <c r="N14" s="110" t="n">
        <v>0.0012494355</v>
      </c>
      <c r="O14" s="110" t="n">
        <v>0.00085921755</v>
      </c>
      <c r="P14" s="110" t="n">
        <v>0.00046043248</v>
      </c>
      <c r="Q14" s="141" t="n"/>
      <c r="R14" s="110" t="n">
        <v>0.0022923518</v>
      </c>
      <c r="S14" s="110" t="n">
        <v>0.0018213911</v>
      </c>
      <c r="T14" s="110" t="n">
        <v>0.0012924786</v>
      </c>
      <c r="U14" s="110" t="n">
        <v>0.00074957799</v>
      </c>
      <c r="V14" s="141" t="n"/>
      <c r="W14" s="110" t="n">
        <v>0.0030884094</v>
      </c>
      <c r="X14" s="110" t="n">
        <v>0.002507894</v>
      </c>
      <c r="Y14" s="110" t="n">
        <v>0.0018425031</v>
      </c>
      <c r="Z14" s="110" t="n">
        <v>0.0011434016</v>
      </c>
      <c r="AA14" s="141" t="n"/>
      <c r="AB14" s="110" t="n">
        <v>0.0039183544</v>
      </c>
      <c r="AC14" s="110" t="n">
        <v>0.003249306</v>
      </c>
      <c r="AD14" s="139" t="n"/>
      <c r="AE14" s="139" t="n"/>
      <c r="AF14" s="141" t="n"/>
      <c r="AG14" s="139" t="n"/>
      <c r="AH14" s="139" t="n"/>
      <c r="AI14" s="139" t="n"/>
      <c r="AJ14" s="139" t="n"/>
    </row>
    <row r="15" ht="12.75" customHeight="1" s="104">
      <c r="A15" s="13" t="inlineStr">
        <is>
          <t>D</t>
        </is>
      </c>
      <c r="B15" s="112" t="inlineStr">
        <is>
          <t>H2O ( mol/s)</t>
        </is>
      </c>
      <c r="C15" s="110" t="n">
        <v>0.0026333087</v>
      </c>
      <c r="D15" s="110" t="n">
        <v>0.0027786018</v>
      </c>
      <c r="E15" s="110" t="n">
        <v>0.0028136447</v>
      </c>
      <c r="F15" s="106" t="n">
        <v>0.0026454272</v>
      </c>
      <c r="G15" s="139" t="n"/>
      <c r="H15" s="110" t="n">
        <v>0.0031563203</v>
      </c>
      <c r="I15" s="110" t="n">
        <v>0.0033490166</v>
      </c>
      <c r="J15" s="110" t="n">
        <v>0.0033616517</v>
      </c>
      <c r="K15" s="110" t="n">
        <v>0.0030063835</v>
      </c>
      <c r="L15" s="139" t="n"/>
      <c r="M15" s="110" t="n">
        <v>0.0033277997</v>
      </c>
      <c r="N15" s="110" t="n">
        <v>0.0034719462</v>
      </c>
      <c r="O15" s="110" t="n">
        <v>0.0033890929</v>
      </c>
      <c r="P15" s="110" t="n">
        <v>0.0029107379</v>
      </c>
      <c r="Q15" s="141" t="n"/>
      <c r="R15" s="110" t="n">
        <v>0.0032493962</v>
      </c>
      <c r="S15" s="110" t="n">
        <v>0.0033225841</v>
      </c>
      <c r="T15" s="110" t="n">
        <v>0.0031622011</v>
      </c>
      <c r="U15" s="110" t="n">
        <v>0.0026491758</v>
      </c>
      <c r="V15" s="141" t="n"/>
      <c r="W15" s="110" t="n">
        <v>0.0030250331</v>
      </c>
      <c r="X15" s="110" t="n">
        <v>0.0030182778</v>
      </c>
      <c r="Y15" s="110" t="n">
        <v>0.0027991838</v>
      </c>
      <c r="Z15" s="110" t="n">
        <v>0.0022933693</v>
      </c>
      <c r="AA15" s="141" t="n"/>
      <c r="AB15" s="110" t="n">
        <v>0.0027460771</v>
      </c>
      <c r="AC15" s="110" t="n">
        <v>0.0026558312</v>
      </c>
      <c r="AD15" s="139" t="n"/>
      <c r="AE15" s="139" t="n"/>
      <c r="AF15" s="141" t="n"/>
      <c r="AG15" s="139" t="n"/>
      <c r="AH15" s="139" t="n"/>
      <c r="AI15" s="139" t="n"/>
      <c r="AJ15" s="139" t="n"/>
    </row>
    <row r="16" ht="12.75" customHeight="1" s="104">
      <c r="A16" s="19" t="n"/>
      <c r="B16" s="112" t="inlineStr">
        <is>
          <t>C ( mol/s)</t>
        </is>
      </c>
      <c r="C16" s="110" t="n">
        <v>0.0032659257</v>
      </c>
      <c r="D16" s="110" t="n">
        <v>0.0036826281</v>
      </c>
      <c r="E16" s="110" t="n">
        <v>0.004053081</v>
      </c>
      <c r="F16" s="106" t="n">
        <v>0.0043842146</v>
      </c>
      <c r="G16" s="139" t="n"/>
      <c r="H16" s="110" t="n">
        <v>0.0041878274</v>
      </c>
      <c r="I16" s="110" t="n">
        <v>0.004884066</v>
      </c>
      <c r="J16" s="110" t="n">
        <v>0.0055292599</v>
      </c>
      <c r="K16" s="110" t="n">
        <v>0.0060912944</v>
      </c>
      <c r="L16" s="139" t="n"/>
      <c r="M16" s="110" t="n">
        <v>0.0046994536</v>
      </c>
      <c r="N16" s="110" t="n">
        <v>0.0055851351</v>
      </c>
      <c r="O16" s="110" t="n">
        <v>0.0063986954</v>
      </c>
      <c r="P16" s="110" t="n">
        <v>0.0070896144</v>
      </c>
      <c r="Q16" s="141" t="n"/>
      <c r="R16" s="110" t="n">
        <v>0.0048128192</v>
      </c>
      <c r="S16" s="110" t="n">
        <v>0.0058471214</v>
      </c>
      <c r="T16" s="110" t="n">
        <v>0.0068027805</v>
      </c>
      <c r="U16" s="110" t="n">
        <v>0.0076271522</v>
      </c>
      <c r="V16" s="141" t="n"/>
      <c r="W16" s="110" t="n">
        <v>0.0046088921</v>
      </c>
      <c r="X16" s="110" t="n">
        <v>0.0057447699</v>
      </c>
      <c r="Y16" s="110" t="n">
        <v>0.0068161188</v>
      </c>
      <c r="Z16" s="110" t="n">
        <v>0.0077758503</v>
      </c>
      <c r="AA16" s="141" t="n"/>
      <c r="AB16" s="110" t="n">
        <v>0.0042248805</v>
      </c>
      <c r="AC16" s="110" t="n">
        <v>0.0054200689</v>
      </c>
      <c r="AD16" s="139" t="n"/>
      <c r="AE16" s="139" t="n"/>
      <c r="AF16" s="141" t="n"/>
      <c r="AG16" s="139" t="n"/>
      <c r="AH16" s="139" t="n"/>
      <c r="AI16" s="139" t="n"/>
      <c r="AJ16" s="139" t="n"/>
    </row>
    <row r="17" ht="12.75" customHeight="1" s="104">
      <c r="A17" s="13" t="n"/>
      <c r="B17" s="112" t="inlineStr">
        <is>
          <t>H2 (mol/s)</t>
        </is>
      </c>
      <c r="C17" s="110" t="n">
        <v>0.0019308113</v>
      </c>
      <c r="D17" s="110" t="n">
        <v>0.002343365</v>
      </c>
      <c r="E17" s="110" t="n">
        <v>0.0028649353</v>
      </c>
      <c r="F17" s="106" t="n">
        <v>0.0036925994</v>
      </c>
      <c r="G17" s="139" t="n"/>
      <c r="H17" s="110" t="n">
        <v>0.0031146125</v>
      </c>
      <c r="I17" s="110" t="n">
        <v>0.0038891111</v>
      </c>
      <c r="J17" s="110" t="n">
        <v>0.0048927296</v>
      </c>
      <c r="K17" s="110" t="n">
        <v>0.0064511632</v>
      </c>
      <c r="L17" s="139" t="n"/>
      <c r="M17" s="110" t="n">
        <v>0.0043422945</v>
      </c>
      <c r="N17" s="110" t="n">
        <v>0.0054758134</v>
      </c>
      <c r="O17" s="110" t="n">
        <v>0.0068784225</v>
      </c>
      <c r="P17" s="110" t="n">
        <v>0.008818185500000001</v>
      </c>
      <c r="Q17" s="141" t="n"/>
      <c r="R17" s="110" t="n">
        <v>0.0054191978</v>
      </c>
      <c r="S17" s="110" t="n">
        <v>0.0068704657</v>
      </c>
      <c r="T17" s="110" t="n">
        <v>0.0085736374</v>
      </c>
      <c r="U17" s="110" t="n">
        <v>0.010705531</v>
      </c>
      <c r="V17" s="141" t="n"/>
      <c r="W17" s="110" t="n">
        <v>0.0062561275</v>
      </c>
      <c r="X17" s="110" t="n">
        <v>0.0079608782</v>
      </c>
      <c r="Y17" s="110" t="n">
        <v>0.0098763732</v>
      </c>
      <c r="Z17" s="110" t="n">
        <v>0.012108364</v>
      </c>
      <c r="AA17" s="141" t="n"/>
      <c r="AB17" s="110" t="n">
        <v>0.0068759612</v>
      </c>
      <c r="AC17" s="110" t="n">
        <v>0.0087777814</v>
      </c>
      <c r="AD17" s="139" t="n"/>
      <c r="AE17" s="139" t="n"/>
      <c r="AF17" s="141" t="n"/>
      <c r="AG17" s="139" t="n"/>
      <c r="AH17" s="139" t="n"/>
      <c r="AI17" s="139" t="n"/>
      <c r="AJ17" s="139" t="n"/>
    </row>
    <row r="18" ht="12.75" customHeight="1" s="104">
      <c r="A18" s="29" t="inlineStr">
        <is>
          <t>OUT</t>
        </is>
      </c>
      <c r="B18" s="30" t="inlineStr">
        <is>
          <t>OUT Molar Flow (mol/s) =</t>
        </is>
      </c>
      <c r="C18" s="142">
        <f>SUM(C12:C17)</f>
        <v/>
      </c>
      <c r="D18" s="142">
        <f>SUM(D12:D17)</f>
        <v/>
      </c>
      <c r="E18" s="142">
        <f>SUM(E12:E17)</f>
        <v/>
      </c>
      <c r="F18" s="142">
        <f>SUM(F12:F17)</f>
        <v/>
      </c>
      <c r="G18" s="139" t="n"/>
      <c r="H18" s="142">
        <f>SUM(H12:H17)</f>
        <v/>
      </c>
      <c r="I18" s="142">
        <f>SUM(I12:I17)</f>
        <v/>
      </c>
      <c r="J18" s="142">
        <f>SUM(J12:J17)</f>
        <v/>
      </c>
      <c r="K18" s="142">
        <f>SUM(K12:K17)</f>
        <v/>
      </c>
      <c r="L18" s="139" t="n"/>
      <c r="M18" s="142">
        <f>SUM(M12:M17)</f>
        <v/>
      </c>
      <c r="N18" s="142">
        <f>SUM(N12:N17)</f>
        <v/>
      </c>
      <c r="O18" s="142">
        <f>SUM(O12:O17)</f>
        <v/>
      </c>
      <c r="P18" s="142">
        <f>SUM(P12:P17)</f>
        <v/>
      </c>
      <c r="Q18" s="141" t="n"/>
      <c r="R18" s="142">
        <f>SUM(R12:R17)</f>
        <v/>
      </c>
      <c r="S18" s="142">
        <f>SUM(S12:S17)</f>
        <v/>
      </c>
      <c r="T18" s="142">
        <f>SUM(T12:T17)</f>
        <v/>
      </c>
      <c r="U18" s="142">
        <f>SUM(U12:U17)</f>
        <v/>
      </c>
      <c r="V18" s="141" t="n"/>
      <c r="W18" s="142">
        <f>SUM(W12:W17)</f>
        <v/>
      </c>
      <c r="X18" s="142">
        <f>SUM(X12:X17)</f>
        <v/>
      </c>
      <c r="Y18" s="142">
        <f>SUM(Y12:Y17)</f>
        <v/>
      </c>
      <c r="Z18" s="142">
        <f>SUM(Z12:Z17)</f>
        <v/>
      </c>
      <c r="AA18" s="141" t="n"/>
      <c r="AB18" s="142">
        <f>SUM(AB12:AB17)</f>
        <v/>
      </c>
      <c r="AC18" s="142">
        <f>SUM(AC12:AC17)</f>
        <v/>
      </c>
      <c r="AD18" s="142" t="n"/>
      <c r="AE18" s="142" t="n"/>
      <c r="AF18" s="141" t="n"/>
      <c r="AG18" s="142" t="n"/>
      <c r="AH18" s="142" t="n"/>
      <c r="AI18" s="142" t="n"/>
      <c r="AJ18" s="142" t="n"/>
    </row>
    <row r="19" ht="12.75" customHeight="1" s="104">
      <c r="B19" s="15" t="n"/>
      <c r="C19" s="142" t="n"/>
      <c r="D19" s="142" t="n"/>
      <c r="E19" s="142" t="n"/>
      <c r="F19" s="142" t="n"/>
      <c r="G19" s="139" t="n"/>
      <c r="H19" s="142" t="n"/>
      <c r="I19" s="142" t="n"/>
      <c r="J19" s="142" t="n"/>
      <c r="K19" s="142" t="n"/>
      <c r="L19" s="139" t="n"/>
      <c r="M19" s="142" t="n"/>
      <c r="N19" s="142" t="n"/>
      <c r="O19" s="142" t="n"/>
      <c r="P19" s="142" t="n"/>
      <c r="Q19" s="141" t="n"/>
      <c r="R19" s="142" t="n"/>
      <c r="S19" s="142" t="n"/>
      <c r="T19" s="142" t="n"/>
      <c r="U19" s="142" t="n"/>
      <c r="V19" s="141" t="n"/>
      <c r="W19" s="142" t="n"/>
      <c r="X19" s="142" t="n"/>
      <c r="Y19" s="142" t="n"/>
      <c r="Z19" s="142" t="n"/>
      <c r="AA19" s="141" t="n"/>
      <c r="AB19" s="142" t="n"/>
      <c r="AC19" s="142" t="n"/>
      <c r="AD19" s="142" t="n"/>
      <c r="AE19" s="142" t="n"/>
      <c r="AF19" s="141" t="n"/>
      <c r="AG19" s="139" t="n"/>
      <c r="AH19" s="142" t="n"/>
      <c r="AI19" s="142" t="n"/>
      <c r="AJ19" s="142" t="n"/>
    </row>
    <row r="20" ht="12.75" customHeight="1" s="104">
      <c r="A20" s="11" t="inlineStr">
        <is>
          <t>P</t>
        </is>
      </c>
      <c r="B20" t="inlineStr">
        <is>
          <t>Reaction Coordinate  DRM (mol/s)</t>
        </is>
      </c>
      <c r="C20" s="38" t="n">
        <v>7.22674e-07</v>
      </c>
      <c r="D20" s="108" t="n">
        <v>7.79951e-07</v>
      </c>
      <c r="E20" s="108" t="n">
        <v>8.159980000000001e-07</v>
      </c>
      <c r="F20" s="108" t="n">
        <v>7.87053e-07</v>
      </c>
      <c r="G20" s="139" t="n"/>
      <c r="H20" s="38" t="n">
        <v>9.736939999999999e-07</v>
      </c>
      <c r="I20" s="108" t="n">
        <v>1.10358e-06</v>
      </c>
      <c r="J20" s="108" t="n">
        <v>1.162e-06</v>
      </c>
      <c r="K20" s="108" t="n">
        <v>1.06482e-06</v>
      </c>
      <c r="L20" s="139" t="n"/>
      <c r="M20" s="108" t="n">
        <v>1.46662e-06</v>
      </c>
      <c r="N20" s="108" t="n">
        <v>1.359e-06</v>
      </c>
      <c r="O20" s="108" t="n">
        <v>1.2202e-06</v>
      </c>
      <c r="P20" s="108" t="n">
        <v>1.02949e-06</v>
      </c>
      <c r="Q20" s="141" t="n"/>
      <c r="R20" s="108" t="n">
        <v>3.51634e-06</v>
      </c>
      <c r="S20" s="108" t="n">
        <v>3.43374e-06</v>
      </c>
      <c r="T20" s="108" t="n">
        <v>3.21474e-06</v>
      </c>
      <c r="U20" s="108" t="n">
        <v>2.68022e-06</v>
      </c>
      <c r="V20" s="141" t="n"/>
      <c r="W20" s="108" t="n">
        <v>3.6573e-06</v>
      </c>
      <c r="X20" s="108" t="n">
        <v>4.88228e-06</v>
      </c>
      <c r="Y20" s="108" t="n">
        <v>6.05582e-06</v>
      </c>
      <c r="Z20" s="108" t="n">
        <v>5.28056e-06</v>
      </c>
      <c r="AA20" s="141" t="n"/>
      <c r="AB20" s="108" t="n">
        <v>3.14821e-06</v>
      </c>
      <c r="AC20" s="108" t="n">
        <v>3.98495e-06</v>
      </c>
      <c r="AD20" s="139" t="n"/>
      <c r="AE20" s="139" t="n"/>
      <c r="AF20" s="141" t="n"/>
      <c r="AG20" s="139" t="n"/>
      <c r="AH20" s="139" t="n"/>
      <c r="AI20" s="139" t="n"/>
      <c r="AJ20" s="139" t="n"/>
    </row>
    <row r="21" ht="12.75" customHeight="1" s="104">
      <c r="A21" s="13" t="n"/>
      <c r="B21" s="110" t="inlineStr">
        <is>
          <t xml:space="preserve">CH₄ + CO₂ ⇌ 2CO + 2H₂ </t>
        </is>
      </c>
      <c r="C21" s="141" t="n"/>
      <c r="D21" s="141" t="n"/>
      <c r="E21" s="141" t="n"/>
      <c r="F21" s="141" t="n"/>
      <c r="G21" s="139" t="n"/>
      <c r="H21" s="141" t="n"/>
      <c r="I21" s="141" t="n"/>
      <c r="J21" s="141" t="n"/>
      <c r="K21" s="141" t="n"/>
      <c r="L21" s="139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  <c r="AA21" s="141" t="n"/>
      <c r="AB21" s="141" t="n"/>
      <c r="AC21" s="141" t="n"/>
      <c r="AD21" s="141" t="n"/>
      <c r="AE21" s="141" t="n"/>
      <c r="AF21" s="141" t="n"/>
      <c r="AG21" s="141" t="n"/>
      <c r="AH21" s="141" t="n"/>
      <c r="AI21" s="141" t="n"/>
      <c r="AJ21" s="141" t="n"/>
    </row>
    <row r="22" ht="12.75" customHeight="1" s="104">
      <c r="A22" s="13" t="inlineStr">
        <is>
          <t>R</t>
        </is>
      </c>
      <c r="C22" s="141" t="n"/>
      <c r="D22" s="141" t="n"/>
      <c r="E22" s="141" t="n"/>
      <c r="F22" s="141" t="n"/>
      <c r="G22" s="141" t="n"/>
      <c r="H22" s="141" t="n"/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  <c r="AA22" s="141" t="n"/>
      <c r="AB22" s="141" t="n"/>
      <c r="AC22" s="141" t="n"/>
      <c r="AD22" s="141" t="n"/>
      <c r="AE22" s="141" t="n"/>
      <c r="AF22" s="141" t="n"/>
      <c r="AG22" s="141" t="n"/>
      <c r="AH22" s="141" t="n"/>
      <c r="AI22" s="141" t="n"/>
      <c r="AJ22" s="141" t="n"/>
    </row>
    <row r="23" ht="12.75" customHeight="1" s="104">
      <c r="A23" s="13" t="n"/>
      <c r="B23" t="inlineStr">
        <is>
          <t>Reaction Coordinate RWGS (mol/s)</t>
        </is>
      </c>
      <c r="C23" s="38" t="n">
        <v>1.64944e-06</v>
      </c>
      <c r="D23" s="108" t="n">
        <v>1.65696e-06</v>
      </c>
      <c r="E23" s="108" t="n">
        <v>1.59985e-06</v>
      </c>
      <c r="F23" s="108" t="n">
        <v>1.43023e-06</v>
      </c>
      <c r="G23" s="141" t="n"/>
      <c r="H23" s="38" t="n">
        <v>2.10396e-06</v>
      </c>
      <c r="I23" s="108" t="n">
        <v>2.08401e-06</v>
      </c>
      <c r="J23" s="108" t="n">
        <v>1.95958e-06</v>
      </c>
      <c r="K23" s="108" t="n">
        <v>1.64386e-06</v>
      </c>
      <c r="L23" s="141" t="n"/>
      <c r="M23" s="108" t="n">
        <v>2.46339e-06</v>
      </c>
      <c r="N23" s="108" t="n">
        <v>2.36069e-06</v>
      </c>
      <c r="O23" s="108" t="n">
        <v>2.12416e-06</v>
      </c>
      <c r="P23" s="108" t="n">
        <v>1.68559e-06</v>
      </c>
      <c r="Q23" s="141" t="n"/>
      <c r="R23" s="108" t="n">
        <v>2.77087e-06</v>
      </c>
      <c r="S23" s="108" t="n">
        <v>2.57199e-06</v>
      </c>
      <c r="T23" s="108" t="n">
        <v>2.22734e-06</v>
      </c>
      <c r="U23" s="108" t="n">
        <v>1.69938e-06</v>
      </c>
      <c r="V23" s="141" t="n"/>
      <c r="W23" s="108" t="n">
        <v>3.05672e-06</v>
      </c>
      <c r="X23" s="108" t="n">
        <v>2.76309e-06</v>
      </c>
      <c r="Y23" s="108" t="n">
        <v>2.81958e-07</v>
      </c>
      <c r="Z23" s="108" t="n">
        <v>1.71839e-06</v>
      </c>
      <c r="AA23" s="141" t="n"/>
      <c r="AB23" s="108" t="n">
        <v>3.33222e-06</v>
      </c>
      <c r="AC23" s="108" t="n">
        <v>2.95257e-06</v>
      </c>
      <c r="AD23" s="139" t="n"/>
      <c r="AE23" s="139" t="n"/>
      <c r="AF23" s="141" t="n"/>
      <c r="AG23" s="139" t="n"/>
      <c r="AH23" s="139" t="n"/>
      <c r="AI23" s="139" t="n"/>
      <c r="AJ23" s="139" t="n"/>
    </row>
    <row r="24" ht="12.75" customHeight="1" s="104">
      <c r="A24" s="13" t="inlineStr">
        <is>
          <t>F</t>
        </is>
      </c>
      <c r="B24" s="110" t="inlineStr">
        <is>
          <t xml:space="preserve">CO₂ + H₂ ⇌ CO + H₂O </t>
        </is>
      </c>
      <c r="C24" s="143" t="n"/>
      <c r="D24" s="141" t="n"/>
      <c r="E24" s="141" t="n"/>
      <c r="F24" s="141" t="n"/>
      <c r="G24" s="141" t="n"/>
      <c r="H24" s="143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  <c r="AA24" s="141" t="n"/>
      <c r="AB24" s="141" t="n"/>
      <c r="AC24" s="141" t="n"/>
      <c r="AD24" s="141" t="n"/>
      <c r="AE24" s="141" t="n"/>
      <c r="AF24" s="141" t="n"/>
      <c r="AG24" s="141" t="n"/>
      <c r="AH24" s="141" t="n"/>
      <c r="AI24" s="141" t="n"/>
      <c r="AJ24" s="141" t="n"/>
    </row>
    <row r="25" ht="12.75" customHeight="1" s="104">
      <c r="A25" s="13" t="n"/>
      <c r="C25" s="143" t="n"/>
      <c r="D25" s="141" t="n"/>
      <c r="E25" s="141" t="n"/>
      <c r="F25" s="141" t="n"/>
      <c r="G25" s="141" t="n"/>
      <c r="H25" s="143" t="n"/>
      <c r="I25" s="141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  <c r="AA25" s="141" t="n"/>
      <c r="AB25" s="141" t="n"/>
      <c r="AC25" s="141" t="n"/>
      <c r="AD25" s="141" t="n"/>
      <c r="AE25" s="141" t="n"/>
      <c r="AF25" s="141" t="n"/>
      <c r="AG25" s="141" t="n"/>
      <c r="AH25" s="141" t="n"/>
      <c r="AI25" s="141" t="n"/>
      <c r="AJ25" s="141" t="n"/>
    </row>
    <row r="26" ht="12.75" customHeight="1" s="104">
      <c r="A26" s="13" t="n"/>
      <c r="B26" t="inlineStr">
        <is>
          <t>Reaction Coordinate DM (mol/s)</t>
        </is>
      </c>
      <c r="C26" s="38" t="n">
        <v>1.55939e-06</v>
      </c>
      <c r="D26" s="108" t="n">
        <v>1.78103e-06</v>
      </c>
      <c r="E26" s="108" t="n">
        <v>2.02329e-06</v>
      </c>
      <c r="F26" s="108" t="n">
        <v>2.38196e-06</v>
      </c>
      <c r="G26" s="141" t="n"/>
      <c r="H26" s="38" t="n">
        <v>2.16177e-06</v>
      </c>
      <c r="I26" s="108" t="n">
        <v>2.51548e-06</v>
      </c>
      <c r="J26" s="108" t="n">
        <v>2.96519e-06</v>
      </c>
      <c r="K26" s="108" t="n">
        <v>3.66396e-06</v>
      </c>
      <c r="L26" s="141" t="n"/>
      <c r="M26" s="108" t="n">
        <v>2.36843e-06</v>
      </c>
      <c r="N26" s="108" t="n">
        <v>3.11488e-06</v>
      </c>
      <c r="O26" s="108" t="n">
        <v>3.91356e-06</v>
      </c>
      <c r="P26" s="108" t="n">
        <v>4.83497e-06</v>
      </c>
      <c r="Q26" s="141" t="n"/>
      <c r="R26" s="108" t="n">
        <v>8.17961e-07</v>
      </c>
      <c r="S26" s="108" t="n">
        <v>1.66278e-06</v>
      </c>
      <c r="T26" s="108" t="n">
        <v>2.65317e-06</v>
      </c>
      <c r="U26" s="108" t="n">
        <v>3.99713e-06</v>
      </c>
      <c r="V26" s="141" t="n"/>
      <c r="W26" s="108" t="n">
        <v>9.83278e-07</v>
      </c>
      <c r="X26" s="108" t="n">
        <v>6.07302e-07</v>
      </c>
      <c r="Y26" s="108" t="n">
        <v>2.32084e-06</v>
      </c>
      <c r="Z26" s="108" t="n">
        <v>1.9203e-06</v>
      </c>
      <c r="AA26" s="141" t="n"/>
      <c r="AB26" s="108" t="n">
        <v>1.66281e-06</v>
      </c>
      <c r="AC26" s="108" t="n">
        <v>1.73186e-06</v>
      </c>
      <c r="AD26" s="139" t="n"/>
      <c r="AE26" s="139" t="n"/>
      <c r="AF26" s="141" t="n"/>
      <c r="AG26" s="139" t="n"/>
      <c r="AH26" s="139" t="n"/>
      <c r="AI26" s="139" t="n"/>
      <c r="AJ26" s="139" t="n"/>
    </row>
    <row r="27" ht="12.75" customHeight="1" s="104">
      <c r="A27" s="13" t="inlineStr">
        <is>
          <t>-</t>
        </is>
      </c>
      <c r="B27" s="110" t="inlineStr">
        <is>
          <t xml:space="preserve">CH₄ ⇌ C(s) + 2H₂ </t>
        </is>
      </c>
    </row>
    <row r="28" ht="12.75" customHeight="1" s="104">
      <c r="A28" s="19" t="n"/>
    </row>
    <row r="29" ht="12.75" customHeight="1" s="104">
      <c r="A29" s="13" t="n">
        <v>1</v>
      </c>
      <c r="B29" s="112" t="inlineStr">
        <is>
          <t>Convertion CH4 (%)</t>
        </is>
      </c>
      <c r="C29" s="110" t="n">
        <v>45.6412</v>
      </c>
      <c r="D29" s="110" t="n">
        <v>42.6831</v>
      </c>
      <c r="E29" s="110" t="n">
        <v>40.5613</v>
      </c>
      <c r="F29" s="110" t="n">
        <v>39.6127</v>
      </c>
      <c r="H29" s="110" t="n">
        <v>62.7093</v>
      </c>
      <c r="I29" s="110" t="n">
        <v>60.3177</v>
      </c>
      <c r="J29" s="110" t="n">
        <v>58.9599</v>
      </c>
      <c r="K29" s="110" t="n">
        <v>59.1097</v>
      </c>
      <c r="M29" s="110" t="n">
        <v>76.7009</v>
      </c>
      <c r="N29" s="110" t="n">
        <v>74.5647</v>
      </c>
      <c r="O29" s="110" t="n">
        <v>73.3394</v>
      </c>
      <c r="P29" s="110" t="n">
        <v>73.3058</v>
      </c>
      <c r="R29" s="110" t="n">
        <v>86.6859</v>
      </c>
      <c r="S29" s="110" t="n">
        <v>84.9421</v>
      </c>
      <c r="T29" s="110" t="n">
        <v>83.8274</v>
      </c>
      <c r="U29" s="110" t="n">
        <v>83.4669</v>
      </c>
      <c r="W29" s="110" t="n">
        <v>92.8116</v>
      </c>
      <c r="X29" s="110" t="n">
        <v>91.49299999999999</v>
      </c>
      <c r="Y29" s="110" t="n">
        <v>90.5397</v>
      </c>
      <c r="Z29" s="110" t="n">
        <v>90.0108</v>
      </c>
      <c r="AB29" s="110" t="n">
        <v>96.2204</v>
      </c>
      <c r="AC29" s="110" t="n">
        <v>95.2801</v>
      </c>
      <c r="AD29" s="110" t="n"/>
      <c r="AE29" s="110" t="n"/>
      <c r="AG29" s="110" t="n"/>
      <c r="AH29" s="110" t="n"/>
      <c r="AI29" s="110" t="n"/>
      <c r="AJ29" s="110" t="n"/>
    </row>
    <row r="30" ht="12.75" customHeight="1" s="104">
      <c r="A30" s="20" t="n"/>
      <c r="B30" s="112" t="inlineStr">
        <is>
          <t>Convertion CO2 (%)</t>
        </is>
      </c>
      <c r="C30" s="110" t="n">
        <v>32.9889</v>
      </c>
      <c r="D30" s="110" t="n">
        <v>41.4239</v>
      </c>
      <c r="E30" s="110" t="n">
        <v>53.3285</v>
      </c>
      <c r="F30" s="110" t="n">
        <v>71.51130000000001</v>
      </c>
      <c r="H30" s="110" t="n">
        <v>42.0792</v>
      </c>
      <c r="I30" s="110" t="n">
        <v>52.1004</v>
      </c>
      <c r="J30" s="110" t="n">
        <v>65.3194</v>
      </c>
      <c r="K30" s="110" t="n">
        <v>82.1931</v>
      </c>
      <c r="M30" s="110" t="n">
        <v>49.2679</v>
      </c>
      <c r="N30" s="110" t="n">
        <v>59.0173</v>
      </c>
      <c r="O30" s="110" t="n">
        <v>70.8052</v>
      </c>
      <c r="P30" s="110" t="n">
        <v>84.27930000000001</v>
      </c>
      <c r="R30" s="110" t="n">
        <v>55.4175</v>
      </c>
      <c r="S30" s="110" t="n">
        <v>64.2997</v>
      </c>
      <c r="T30" s="110" t="n">
        <v>74.24469999999999</v>
      </c>
      <c r="U30" s="110" t="n">
        <v>84.9688</v>
      </c>
      <c r="W30" s="110" t="n">
        <v>61.1344</v>
      </c>
      <c r="X30" s="110" t="n">
        <v>69.0771</v>
      </c>
      <c r="Y30" s="110" t="n">
        <v>77.3614</v>
      </c>
      <c r="Z30" s="110" t="n">
        <v>85.91930000000001</v>
      </c>
      <c r="AB30" s="110" t="n">
        <v>66.6443</v>
      </c>
      <c r="AC30" s="110" t="n">
        <v>73.8142</v>
      </c>
      <c r="AD30" s="110" t="n"/>
      <c r="AE30" s="110" t="n"/>
      <c r="AG30" s="110" t="n"/>
      <c r="AH30" s="110" t="n"/>
      <c r="AI30" s="110" t="n"/>
      <c r="AJ30" s="110" t="n"/>
    </row>
    <row r="31" ht="12.75" customHeight="1" s="104">
      <c r="B31" s="112" t="inlineStr">
        <is>
          <t>Selec ( C )</t>
        </is>
      </c>
      <c r="C31">
        <f>C26/(C20+C26)</f>
        <v/>
      </c>
      <c r="D31">
        <f>D26/(D20+D26)</f>
        <v/>
      </c>
      <c r="E31">
        <f>E26/(E20+E26)</f>
        <v/>
      </c>
      <c r="F31">
        <f>F26/(F20+F26)</f>
        <v/>
      </c>
      <c r="H31">
        <f>H26/(H20+H26)</f>
        <v/>
      </c>
      <c r="I31">
        <f>I26/(I20+I26)</f>
        <v/>
      </c>
      <c r="J31">
        <f>J26/(J20+J26)</f>
        <v/>
      </c>
      <c r="K31">
        <f>K26/(K20+K26)</f>
        <v/>
      </c>
      <c r="M31">
        <f>M26/(M20+M26)</f>
        <v/>
      </c>
      <c r="N31">
        <f>N26/(N20+N26)</f>
        <v/>
      </c>
      <c r="O31">
        <f>O26/(O20+O26)</f>
        <v/>
      </c>
      <c r="P31">
        <f>P26/(P20+P26)</f>
        <v/>
      </c>
      <c r="R31">
        <f>R26/(R20+R26)</f>
        <v/>
      </c>
      <c r="S31">
        <f>S26/(S20+S26)</f>
        <v/>
      </c>
      <c r="T31">
        <f>T26/(T20+T26)</f>
        <v/>
      </c>
      <c r="U31">
        <f>U26/(U20+U26)</f>
        <v/>
      </c>
      <c r="W31">
        <f>W26/(W20+W26)</f>
        <v/>
      </c>
      <c r="X31">
        <f>X26/(X20+X26)</f>
        <v/>
      </c>
      <c r="Y31">
        <f>Y26/(Y20+Y26)</f>
        <v/>
      </c>
      <c r="Z31">
        <f>Z26/(Z20+Z26)</f>
        <v/>
      </c>
      <c r="AB31">
        <f>AB26/(AB20+AB26)</f>
        <v/>
      </c>
      <c r="AC31">
        <f>AC26/(AC20+AC26)</f>
        <v/>
      </c>
    </row>
    <row r="32" ht="12.75" customHeight="1" s="104">
      <c r="B32" s="112" t="inlineStr">
        <is>
          <t>H2 / CO</t>
        </is>
      </c>
      <c r="C32">
        <f>C17/C14</f>
        <v/>
      </c>
      <c r="D32">
        <f>D17/D14</f>
        <v/>
      </c>
      <c r="E32">
        <f>E17/E14</f>
        <v/>
      </c>
      <c r="F32">
        <f>F17/F14</f>
        <v/>
      </c>
      <c r="H32">
        <f>H17/H14</f>
        <v/>
      </c>
      <c r="I32">
        <f>I17/I14</f>
        <v/>
      </c>
      <c r="J32">
        <f>J17/J14</f>
        <v/>
      </c>
      <c r="K32">
        <f>K17/K14</f>
        <v/>
      </c>
      <c r="M32">
        <f>M17/M14</f>
        <v/>
      </c>
      <c r="N32">
        <f>N17/N14</f>
        <v/>
      </c>
      <c r="O32">
        <f>O17/O14</f>
        <v/>
      </c>
      <c r="P32">
        <f>P17/P14</f>
        <v/>
      </c>
      <c r="R32">
        <f>R17/R14</f>
        <v/>
      </c>
      <c r="S32">
        <f>S17/S14</f>
        <v/>
      </c>
      <c r="T32">
        <f>T17/T14</f>
        <v/>
      </c>
      <c r="U32">
        <f>U17/U14</f>
        <v/>
      </c>
      <c r="W32">
        <f>W17/W14</f>
        <v/>
      </c>
      <c r="X32">
        <f>X17/X14</f>
        <v/>
      </c>
      <c r="Y32">
        <f>Y17/Y14</f>
        <v/>
      </c>
      <c r="Z32">
        <f>Z17/Z14</f>
        <v/>
      </c>
      <c r="AB32">
        <f>AB17/AB14</f>
        <v/>
      </c>
      <c r="AC32">
        <f>AC17/AC14</f>
        <v/>
      </c>
    </row>
    <row r="33" ht="12.75" customHeight="1" s="104"/>
    <row r="34" ht="12.75" customHeight="1" s="104">
      <c r="F34" s="60" t="n"/>
    </row>
    <row r="35" ht="12.75" customHeight="1" s="104">
      <c r="F35" s="60" t="n"/>
    </row>
    <row r="36" ht="12.75" customHeight="1" s="104"/>
    <row r="37" ht="12.75" customHeight="1" s="104"/>
    <row r="38" ht="12.75" customHeight="1" s="104"/>
  </sheetData>
  <pageMargins left="0.39375" right="0.39375" top="0.7875" bottom="0.7875" header="0.511811023622047" footer="0.511811023622047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L32"/>
  <sheetViews>
    <sheetView zoomScale="83" zoomScaleNormal="83" workbookViewId="0">
      <selection activeCell="J18" sqref="J18"/>
    </sheetView>
  </sheetViews>
  <sheetFormatPr baseColWidth="8" defaultColWidth="11.5703125" defaultRowHeight="12.75"/>
  <cols>
    <col width="6.5703125" customWidth="1" style="104" min="1" max="1"/>
    <col width="30.7109375" customWidth="1" style="104" min="2" max="2"/>
    <col width="12.7109375" customWidth="1" style="104" min="3" max="6"/>
    <col width="2" customWidth="1" style="104" min="7" max="7"/>
    <col width="12.7109375" customWidth="1" style="104" min="8" max="11"/>
    <col width="2" customWidth="1" style="104" min="12" max="12"/>
    <col width="12.7109375" customWidth="1" style="104" min="13" max="16"/>
    <col width="2" customWidth="1" style="104" min="17" max="17"/>
    <col width="12.7109375" customWidth="1" style="104" min="18" max="21"/>
    <col width="2" customWidth="1" style="104" min="22" max="22"/>
    <col width="12.7109375" customWidth="1" style="104" min="23" max="26"/>
    <col width="2" customWidth="1" style="104" min="27" max="27"/>
    <col width="12.7109375" customWidth="1" style="104" min="28" max="31"/>
    <col width="2" customWidth="1" style="104" min="32" max="32"/>
    <col width="12.7109375" customWidth="1" style="104" min="33" max="36"/>
  </cols>
  <sheetData>
    <row r="1" ht="12.75" customHeight="1" s="104"/>
    <row r="2" ht="12.75" customHeight="1" s="104">
      <c r="A2" s="11" t="n"/>
      <c r="B2" s="112" t="inlineStr">
        <is>
          <t>Temperatura ( K ) =</t>
        </is>
      </c>
      <c r="C2" s="71" t="inlineStr">
        <is>
          <t>823 K</t>
        </is>
      </c>
      <c r="D2" s="71" t="inlineStr">
        <is>
          <t>823 K</t>
        </is>
      </c>
      <c r="E2" s="71" t="inlineStr">
        <is>
          <t>823 K</t>
        </is>
      </c>
      <c r="F2" s="71" t="inlineStr">
        <is>
          <t>823 K</t>
        </is>
      </c>
      <c r="G2" s="113" t="n"/>
      <c r="H2" s="71" t="inlineStr">
        <is>
          <t>873K</t>
        </is>
      </c>
      <c r="I2" s="71" t="inlineStr">
        <is>
          <t>873K</t>
        </is>
      </c>
      <c r="J2" s="71" t="inlineStr">
        <is>
          <t>873K</t>
        </is>
      </c>
      <c r="K2" s="71" t="inlineStr">
        <is>
          <t>873K</t>
        </is>
      </c>
      <c r="L2" s="113" t="n"/>
      <c r="M2" s="71" t="inlineStr">
        <is>
          <t>923 K</t>
        </is>
      </c>
      <c r="N2" s="71" t="inlineStr">
        <is>
          <t>923 K</t>
        </is>
      </c>
      <c r="O2" s="71" t="inlineStr">
        <is>
          <t>923 K</t>
        </is>
      </c>
      <c r="P2" s="71" t="inlineStr">
        <is>
          <t>923 K</t>
        </is>
      </c>
      <c r="R2" s="71" t="inlineStr">
        <is>
          <t>973 K</t>
        </is>
      </c>
      <c r="S2" s="71" t="inlineStr">
        <is>
          <t>973 K</t>
        </is>
      </c>
      <c r="T2" s="71" t="inlineStr">
        <is>
          <t>973 K</t>
        </is>
      </c>
      <c r="U2" s="71" t="inlineStr">
        <is>
          <t>973 K</t>
        </is>
      </c>
      <c r="W2" s="71" t="inlineStr">
        <is>
          <t>1023 K</t>
        </is>
      </c>
      <c r="X2" s="71" t="inlineStr">
        <is>
          <t>1023 K</t>
        </is>
      </c>
      <c r="Y2" s="71" t="inlineStr">
        <is>
          <t>1023 K</t>
        </is>
      </c>
      <c r="Z2" s="71" t="inlineStr">
        <is>
          <t>1023 K</t>
        </is>
      </c>
      <c r="AB2" s="71" t="inlineStr">
        <is>
          <t>1073 K</t>
        </is>
      </c>
      <c r="AC2" s="71" t="n"/>
      <c r="AD2" s="71" t="n"/>
      <c r="AE2" s="71" t="n"/>
      <c r="AG2" s="71" t="n"/>
      <c r="AH2" s="71" t="n"/>
      <c r="AI2" s="71" t="n"/>
      <c r="AJ2" s="71" t="n"/>
    </row>
    <row r="3" ht="12.75" customHeight="1" s="104">
      <c r="A3" s="13" t="inlineStr">
        <is>
          <t>F</t>
        </is>
      </c>
      <c r="B3" s="112" t="inlineStr">
        <is>
          <t>Pressão ( Pa ) =</t>
        </is>
      </c>
      <c r="C3" t="n">
        <v>1013250</v>
      </c>
      <c r="D3" t="n">
        <v>1013250</v>
      </c>
      <c r="E3" t="n">
        <v>1013250</v>
      </c>
      <c r="F3" t="n">
        <v>1013250</v>
      </c>
      <c r="H3" t="n">
        <v>1013250</v>
      </c>
      <c r="I3" t="n">
        <v>1013250</v>
      </c>
      <c r="J3" t="n">
        <v>1013250</v>
      </c>
      <c r="K3" t="n">
        <v>1013250</v>
      </c>
      <c r="M3" t="n">
        <v>1013250</v>
      </c>
      <c r="N3" t="n">
        <v>1013250</v>
      </c>
      <c r="O3" t="n">
        <v>1013250</v>
      </c>
      <c r="P3" t="n">
        <v>1013250</v>
      </c>
      <c r="R3" t="n">
        <v>1013250</v>
      </c>
      <c r="S3" t="n">
        <v>1013250</v>
      </c>
      <c r="T3" t="n">
        <v>1013250</v>
      </c>
      <c r="U3" t="n">
        <v>1013250</v>
      </c>
      <c r="W3" t="n">
        <v>1013250</v>
      </c>
      <c r="X3" t="n">
        <v>1013250</v>
      </c>
      <c r="Y3" t="n">
        <v>1013250</v>
      </c>
      <c r="Z3" t="n">
        <v>1013250</v>
      </c>
      <c r="AB3" t="n">
        <v>1013250</v>
      </c>
    </row>
    <row r="4" ht="12.75" customHeight="1" s="104">
      <c r="A4" s="13" t="inlineStr">
        <is>
          <t>E</t>
        </is>
      </c>
      <c r="B4" s="112" t="inlineStr">
        <is>
          <t>“BIOGAS” Flow (mol/s) =</t>
        </is>
      </c>
      <c r="C4" t="n">
        <v>0.01</v>
      </c>
      <c r="D4" t="n">
        <v>0.01</v>
      </c>
      <c r="E4" t="n">
        <v>0.01</v>
      </c>
      <c r="F4" t="n">
        <v>0.01</v>
      </c>
      <c r="H4" t="n">
        <v>0.01</v>
      </c>
      <c r="I4" t="n">
        <v>0.01</v>
      </c>
      <c r="J4" t="n">
        <v>0.01</v>
      </c>
      <c r="K4" t="n">
        <v>0.01</v>
      </c>
      <c r="M4" t="n">
        <v>0.01</v>
      </c>
      <c r="N4" t="n">
        <v>0.01</v>
      </c>
      <c r="O4" t="n">
        <v>0.01</v>
      </c>
      <c r="P4" t="n">
        <v>0.01</v>
      </c>
      <c r="R4" t="n">
        <v>0.01</v>
      </c>
      <c r="S4" t="n">
        <v>0.01</v>
      </c>
      <c r="T4" t="n">
        <v>0.01</v>
      </c>
      <c r="U4" t="n">
        <v>0.01</v>
      </c>
      <c r="W4" t="n">
        <v>0.01</v>
      </c>
      <c r="X4" t="n">
        <v>0.01</v>
      </c>
      <c r="Y4" t="n">
        <v>0.01</v>
      </c>
      <c r="Z4" t="n">
        <v>0.01</v>
      </c>
      <c r="AB4" t="n">
        <v>0.01</v>
      </c>
    </row>
    <row r="5" ht="12.75" customHeight="1" s="104">
      <c r="A5" s="13" t="inlineStr">
        <is>
          <t>E</t>
        </is>
      </c>
    </row>
    <row r="6" ht="12.75" customHeight="1" s="104">
      <c r="A6" s="13" t="inlineStr">
        <is>
          <t>D</t>
        </is>
      </c>
      <c r="B6" s="22" t="inlineStr">
        <is>
          <t>Basis: MOLAR FRACTION</t>
        </is>
      </c>
    </row>
    <row r="7" ht="12.75" customHeight="1" s="104">
      <c r="A7" s="13" t="n"/>
      <c r="B7" s="112" t="inlineStr">
        <is>
          <t>CH4/CO2 =</t>
        </is>
      </c>
      <c r="C7" t="n">
        <v>1</v>
      </c>
      <c r="D7" t="n">
        <v>1</v>
      </c>
      <c r="E7" t="n">
        <v>1</v>
      </c>
      <c r="F7" t="n">
        <v>1</v>
      </c>
      <c r="H7" t="n">
        <v>1</v>
      </c>
      <c r="I7" t="n">
        <v>1</v>
      </c>
      <c r="J7" t="n">
        <v>1</v>
      </c>
      <c r="K7" t="n">
        <v>1</v>
      </c>
      <c r="M7" t="n">
        <v>1</v>
      </c>
      <c r="N7" t="n">
        <v>1</v>
      </c>
      <c r="O7" t="n">
        <v>1</v>
      </c>
      <c r="P7" t="n">
        <v>1</v>
      </c>
      <c r="R7" t="n">
        <v>1</v>
      </c>
      <c r="S7" t="n">
        <v>1</v>
      </c>
      <c r="T7" t="n">
        <v>1</v>
      </c>
      <c r="U7" t="n">
        <v>1</v>
      </c>
      <c r="W7" t="n">
        <v>1</v>
      </c>
      <c r="X7" t="n">
        <v>1</v>
      </c>
      <c r="Y7" t="n">
        <v>1</v>
      </c>
      <c r="Z7" t="n">
        <v>1</v>
      </c>
      <c r="AB7" t="n">
        <v>1</v>
      </c>
    </row>
    <row r="8" ht="12.75" customHeight="1" s="104">
      <c r="A8" s="23" t="inlineStr">
        <is>
          <t>IN</t>
        </is>
      </c>
      <c r="B8" s="112" t="inlineStr">
        <is>
          <t>CH4 (fração molar) =</t>
        </is>
      </c>
      <c r="C8">
        <f>C7/(1+C7)</f>
        <v/>
      </c>
      <c r="D8" t="n">
        <v>0.6</v>
      </c>
      <c r="E8" t="n">
        <v>0.7</v>
      </c>
      <c r="F8" t="n">
        <v>0.8</v>
      </c>
      <c r="H8">
        <f>H7/(1+H7)</f>
        <v/>
      </c>
      <c r="I8" t="n">
        <v>0.6</v>
      </c>
      <c r="J8" t="n">
        <v>0.7</v>
      </c>
      <c r="K8" t="n">
        <v>0.8</v>
      </c>
      <c r="M8">
        <f>M7/(1+M7)</f>
        <v/>
      </c>
      <c r="N8" t="n">
        <v>0.6</v>
      </c>
      <c r="O8" t="n">
        <v>0.7</v>
      </c>
      <c r="P8" t="n">
        <v>0.8</v>
      </c>
      <c r="R8">
        <f>R7/(1+R7)</f>
        <v/>
      </c>
      <c r="S8" t="n">
        <v>0.6</v>
      </c>
      <c r="T8" t="n">
        <v>0.7</v>
      </c>
      <c r="U8" t="n">
        <v>0.8</v>
      </c>
      <c r="W8">
        <f>W7/(1+W7)</f>
        <v/>
      </c>
      <c r="X8" t="n">
        <v>0.6</v>
      </c>
      <c r="Y8" t="n">
        <v>0.7</v>
      </c>
      <c r="Z8" t="n">
        <v>0.8</v>
      </c>
      <c r="AB8">
        <f>AB7/(1+AB7)</f>
        <v/>
      </c>
    </row>
    <row r="9" ht="12.75" customHeight="1" s="104">
      <c r="A9" s="14" t="n"/>
      <c r="B9" s="112" t="inlineStr">
        <is>
          <t>CO2 (fração molar) =</t>
        </is>
      </c>
      <c r="C9">
        <f>1/(1+C7)</f>
        <v/>
      </c>
      <c r="D9" t="n">
        <v>0.4</v>
      </c>
      <c r="E9" t="n">
        <v>0.3</v>
      </c>
      <c r="F9" t="n">
        <v>0.2</v>
      </c>
      <c r="H9">
        <f>1/(1+H7)</f>
        <v/>
      </c>
      <c r="I9" t="n">
        <v>0.4</v>
      </c>
      <c r="J9" t="n">
        <v>0.3</v>
      </c>
      <c r="K9" t="n">
        <v>0.2</v>
      </c>
      <c r="M9">
        <f>1/(1+M7)</f>
        <v/>
      </c>
      <c r="N9" t="n">
        <v>0.4</v>
      </c>
      <c r="O9" t="n">
        <v>0.3</v>
      </c>
      <c r="P9" t="n">
        <v>0.2</v>
      </c>
      <c r="R9">
        <f>1/(1+R7)</f>
        <v/>
      </c>
      <c r="S9" t="n">
        <v>0.4</v>
      </c>
      <c r="T9" t="n">
        <v>0.3</v>
      </c>
      <c r="U9" t="n">
        <v>0.2</v>
      </c>
      <c r="W9">
        <f>1/(1+W7)</f>
        <v/>
      </c>
      <c r="X9" t="n">
        <v>0.4</v>
      </c>
      <c r="Y9" t="n">
        <v>0.3</v>
      </c>
      <c r="Z9" t="n">
        <v>0.2</v>
      </c>
      <c r="AB9">
        <f>1/(1+AB7)</f>
        <v/>
      </c>
    </row>
    <row r="10" ht="12.75" customHeight="1" s="104">
      <c r="C10" s="113" t="n"/>
      <c r="D10" s="113" t="n"/>
      <c r="E10" s="113" t="n"/>
      <c r="F10" s="113" t="n"/>
      <c r="G10" s="113" t="n"/>
      <c r="H10" s="113" t="n"/>
      <c r="I10" s="113" t="n"/>
      <c r="J10" s="113" t="n"/>
      <c r="K10" s="113" t="n"/>
      <c r="L10" s="113" t="n"/>
      <c r="M10" s="113" t="n"/>
      <c r="N10" s="113" t="n"/>
      <c r="O10" s="113" t="n"/>
      <c r="P10" s="113" t="n"/>
      <c r="R10" s="113" t="n"/>
      <c r="S10" s="113" t="n"/>
      <c r="T10" s="113" t="n"/>
      <c r="U10" s="113" t="n"/>
      <c r="W10" s="113" t="n"/>
      <c r="X10" s="113" t="n"/>
      <c r="Y10" s="113" t="n"/>
      <c r="Z10" s="113" t="n"/>
      <c r="AB10" s="113" t="n"/>
      <c r="AC10" s="113" t="n"/>
      <c r="AD10" s="113" t="n"/>
      <c r="AE10" s="113" t="n"/>
      <c r="AG10" s="113" t="n"/>
      <c r="AH10" s="113" t="n"/>
      <c r="AI10" s="113" t="n"/>
      <c r="AJ10" s="113" t="n"/>
    </row>
    <row r="11" ht="12.75" customHeight="1" s="104">
      <c r="A11" s="24" t="n"/>
      <c r="B11" s="22" t="inlineStr">
        <is>
          <t>Basis: MOLAR FLOW</t>
        </is>
      </c>
      <c r="C11" s="71" t="n"/>
      <c r="D11" s="71" t="n"/>
      <c r="E11" s="71" t="n"/>
      <c r="F11" s="71" t="n"/>
      <c r="G11" s="113" t="n"/>
      <c r="H11" s="71" t="n"/>
      <c r="I11" s="71" t="n"/>
      <c r="J11" s="71" t="n"/>
      <c r="K11" s="71" t="n"/>
      <c r="L11" s="113" t="n"/>
      <c r="M11" s="71" t="n"/>
      <c r="N11" s="71" t="n"/>
      <c r="O11" s="71" t="n"/>
      <c r="P11" s="71" t="n"/>
      <c r="R11" s="71" t="n"/>
      <c r="S11" s="71" t="n"/>
      <c r="T11" s="71" t="n"/>
      <c r="U11" s="71" t="n"/>
      <c r="W11" s="71" t="n"/>
      <c r="X11" s="71" t="n"/>
      <c r="Y11" s="71" t="n"/>
      <c r="Z11" s="71" t="n"/>
      <c r="AB11" s="71" t="n"/>
      <c r="AC11" s="71" t="n"/>
      <c r="AD11" s="71" t="n"/>
      <c r="AE11" s="71" t="n"/>
      <c r="AG11" s="71" t="n"/>
      <c r="AH11" s="71" t="n"/>
      <c r="AI11" s="71" t="n"/>
      <c r="AJ11" s="71" t="n"/>
    </row>
    <row r="12" ht="12.75" customHeight="1" s="104">
      <c r="A12" s="13" t="inlineStr">
        <is>
          <t>P</t>
        </is>
      </c>
      <c r="B12" s="112" t="inlineStr">
        <is>
          <t>CH4 ( mol/s )</t>
        </is>
      </c>
      <c r="C12" s="110" t="n">
        <v>0.003298051</v>
      </c>
      <c r="D12" s="110" t="n">
        <v>0.0041230937</v>
      </c>
      <c r="E12" s="110" t="n">
        <v>0.0049548018</v>
      </c>
      <c r="F12" s="110" t="n">
        <v>0.0057643535</v>
      </c>
      <c r="G12" s="139" t="n"/>
      <c r="H12" s="110" t="n">
        <v>0.0025318874</v>
      </c>
      <c r="I12" s="110" t="n">
        <v>0.0031911722</v>
      </c>
      <c r="J12" s="110" t="n">
        <v>0.0038360083</v>
      </c>
      <c r="K12" s="110" t="n">
        <v>0.0044046932</v>
      </c>
      <c r="L12" s="139" t="n"/>
      <c r="M12" s="110" t="n">
        <v>0.0018053035</v>
      </c>
      <c r="N12" s="110" t="n">
        <v>0.0023208785</v>
      </c>
      <c r="O12" s="110" t="n">
        <v>0.002813087</v>
      </c>
      <c r="P12" s="110" t="n">
        <v>0.003213876</v>
      </c>
      <c r="Q12" s="141" t="n"/>
      <c r="R12" s="110" t="n">
        <v>0.0011772839</v>
      </c>
      <c r="S12" s="110" t="n">
        <v>0.0015547355</v>
      </c>
      <c r="T12" s="110" t="n">
        <v>0.0019128323</v>
      </c>
      <c r="U12" s="110" t="n">
        <v>0.0022007007</v>
      </c>
      <c r="V12" s="141" t="n"/>
      <c r="W12" s="110" t="n">
        <v>0.00071376426</v>
      </c>
      <c r="X12" s="110" t="n">
        <v>0.0009766810000000001</v>
      </c>
      <c r="Y12" s="110" t="n">
        <v>0.0012308835</v>
      </c>
      <c r="Z12" s="110" t="n">
        <v>0.001444505</v>
      </c>
      <c r="AA12" s="141" t="n"/>
      <c r="AB12" s="40" t="n">
        <v>0.0004121662</v>
      </c>
      <c r="AC12" s="144" t="n"/>
      <c r="AD12" s="144" t="n"/>
      <c r="AE12" s="144" t="n"/>
      <c r="AF12" s="141" t="n"/>
      <c r="AG12" s="45" t="n"/>
      <c r="AH12" s="144" t="n"/>
      <c r="AI12" s="144" t="n"/>
      <c r="AJ12" s="144" t="n"/>
    </row>
    <row r="13" ht="12.75" customHeight="1" s="104">
      <c r="A13" s="13" t="inlineStr">
        <is>
          <t>R</t>
        </is>
      </c>
      <c r="B13" s="112" t="inlineStr">
        <is>
          <t>CO2 ( mol/s)</t>
        </is>
      </c>
      <c r="C13" s="110" t="n">
        <v>0.0036317905</v>
      </c>
      <c r="D13" s="110" t="n">
        <v>0.0026240093</v>
      </c>
      <c r="E13" s="110" t="n">
        <v>0.0016588772</v>
      </c>
      <c r="F13" s="110" t="n">
        <v>0.00076251162</v>
      </c>
      <c r="G13" s="139" t="n"/>
      <c r="H13" s="110" t="n">
        <v>0.0031504553</v>
      </c>
      <c r="I13" s="110" t="n">
        <v>0.0021453814</v>
      </c>
      <c r="J13" s="110" t="n">
        <v>0.0012146696</v>
      </c>
      <c r="K13" s="110" t="n">
        <v>0.00043123443</v>
      </c>
      <c r="L13" s="139" t="n"/>
      <c r="M13" s="110" t="n">
        <v>0.0027359307</v>
      </c>
      <c r="N13" s="110" t="n">
        <v>0.0017922986</v>
      </c>
      <c r="O13" s="110" t="n">
        <v>0.00096006907</v>
      </c>
      <c r="P13" s="110" t="n">
        <v>0.00032348999</v>
      </c>
      <c r="Q13" s="141" t="n"/>
      <c r="R13" s="110" t="n">
        <v>0.0023800202</v>
      </c>
      <c r="S13" s="110" t="n">
        <v>0.0015234258</v>
      </c>
      <c r="T13" s="110" t="n">
        <v>0.00080434277</v>
      </c>
      <c r="U13" s="110" t="n">
        <v>0.0002849265</v>
      </c>
      <c r="V13" s="141" t="n"/>
      <c r="W13" s="110" t="n">
        <v>0.0020730356</v>
      </c>
      <c r="X13" s="110" t="n">
        <v>0.0013122195</v>
      </c>
      <c r="Y13" s="110" t="n">
        <v>0.00069951733</v>
      </c>
      <c r="Z13" s="110" t="n">
        <v>0.00026698915</v>
      </c>
      <c r="AA13" s="141" t="n"/>
      <c r="AB13" s="40" t="n">
        <v>0.0017956477</v>
      </c>
      <c r="AC13" s="144" t="n"/>
      <c r="AD13" s="144" t="n"/>
      <c r="AE13" s="144" t="n"/>
      <c r="AF13" s="141" t="n"/>
      <c r="AG13" s="45" t="n"/>
      <c r="AH13" s="144" t="n"/>
      <c r="AI13" s="144" t="n"/>
      <c r="AJ13" s="144" t="n"/>
    </row>
    <row r="14" ht="12.75" customHeight="1" s="104">
      <c r="A14" s="13" t="inlineStr">
        <is>
          <t>O</t>
        </is>
      </c>
      <c r="B14" s="112" t="inlineStr">
        <is>
          <t>CO (mol/s)</t>
        </is>
      </c>
      <c r="C14" s="110" t="n">
        <v>0.00055202566</v>
      </c>
      <c r="D14" s="110" t="n">
        <v>0.00045128246</v>
      </c>
      <c r="E14" s="110" t="n">
        <v>0.00033564848</v>
      </c>
      <c r="F14" s="110" t="n">
        <v>0.00020037842</v>
      </c>
      <c r="G14" s="139" t="n"/>
      <c r="H14" s="110" t="n">
        <v>0.00086251612</v>
      </c>
      <c r="I14" s="110" t="n">
        <v>0.0006769385</v>
      </c>
      <c r="J14" s="110" t="n">
        <v>0.00046725807</v>
      </c>
      <c r="K14" s="110" t="n">
        <v>0.00023599413</v>
      </c>
      <c r="L14" s="139" t="n"/>
      <c r="M14" s="110" t="n">
        <v>0.0013033515</v>
      </c>
      <c r="N14" s="110" t="n">
        <v>0.001011294</v>
      </c>
      <c r="O14" s="110" t="n">
        <v>0.00068389376</v>
      </c>
      <c r="P14" s="110" t="n">
        <v>0.00034270668</v>
      </c>
      <c r="Q14" s="141" t="n"/>
      <c r="R14" s="110" t="n">
        <v>0.0018703335</v>
      </c>
      <c r="S14" s="110" t="n">
        <v>0.0014559026</v>
      </c>
      <c r="T14" s="110" t="n">
        <v>0.0009953397000000001</v>
      </c>
      <c r="U14" s="110" t="n">
        <v>0.0005298334</v>
      </c>
      <c r="V14" s="141" t="n"/>
      <c r="W14" s="110" t="n">
        <v>0.0025509491</v>
      </c>
      <c r="X14" s="110" t="n">
        <v>0.0020149569</v>
      </c>
      <c r="Y14" s="110" t="n">
        <v>0.0014175666</v>
      </c>
      <c r="Z14" s="110" t="n">
        <v>0.00081266178</v>
      </c>
      <c r="AA14" s="141" t="n"/>
      <c r="AB14" s="40" t="n">
        <v>0.0033029753</v>
      </c>
      <c r="AC14" s="144" t="n"/>
      <c r="AD14" s="144" t="n"/>
      <c r="AE14" s="144" t="n"/>
      <c r="AF14" s="141" t="n"/>
      <c r="AG14" s="45" t="n"/>
      <c r="AH14" s="144" t="n"/>
      <c r="AI14" s="144" t="n"/>
      <c r="AJ14" s="144" t="n"/>
    </row>
    <row r="15" ht="12.75" customHeight="1" s="104">
      <c r="A15" s="13" t="inlineStr">
        <is>
          <t>D</t>
        </is>
      </c>
      <c r="B15" s="112" t="inlineStr">
        <is>
          <t>H2O ( mol/s)</t>
        </is>
      </c>
      <c r="C15" s="110" t="n">
        <v>0.0021843936</v>
      </c>
      <c r="D15" s="110" t="n">
        <v>0.0023006992</v>
      </c>
      <c r="E15" s="110" t="n">
        <v>0.0023465974</v>
      </c>
      <c r="F15" s="110" t="n">
        <v>0.0022745985</v>
      </c>
      <c r="G15" s="139" t="n"/>
      <c r="H15" s="110" t="n">
        <v>0.0028365736</v>
      </c>
      <c r="I15" s="110" t="n">
        <v>0.0030322989</v>
      </c>
      <c r="J15" s="110" t="n">
        <v>0.003103403</v>
      </c>
      <c r="K15" s="110" t="n">
        <v>0.0029015372</v>
      </c>
      <c r="L15" s="139" t="n"/>
      <c r="M15" s="110" t="n">
        <v>0.0032247873</v>
      </c>
      <c r="N15" s="110" t="n">
        <v>0.0034041091</v>
      </c>
      <c r="O15" s="110" t="n">
        <v>0.0033959683</v>
      </c>
      <c r="P15" s="110" t="n">
        <v>0.0030103135</v>
      </c>
      <c r="Q15" s="141" t="n"/>
      <c r="R15" s="110" t="n">
        <v>0.0033696264</v>
      </c>
      <c r="S15" s="110" t="n">
        <v>0.003497246</v>
      </c>
      <c r="T15" s="110" t="n">
        <v>0.003395975</v>
      </c>
      <c r="U15" s="110" t="n">
        <v>0.0029003138</v>
      </c>
      <c r="V15" s="141" t="n"/>
      <c r="W15" s="110" t="n">
        <v>0.0033029799</v>
      </c>
      <c r="X15" s="110" t="n">
        <v>0.0033606043</v>
      </c>
      <c r="Y15" s="110" t="n">
        <v>0.003183399</v>
      </c>
      <c r="Z15" s="110" t="n">
        <v>0.0026533601</v>
      </c>
      <c r="AA15" s="141" t="n"/>
      <c r="AB15" s="40" t="n">
        <v>0.0031057295</v>
      </c>
      <c r="AC15" s="144" t="n"/>
      <c r="AD15" s="144" t="n"/>
      <c r="AE15" s="144" t="n"/>
      <c r="AF15" s="141" t="n"/>
      <c r="AG15" s="45" t="n"/>
      <c r="AH15" s="144" t="n"/>
      <c r="AI15" s="144" t="n"/>
      <c r="AJ15" s="144" t="n"/>
    </row>
    <row r="16" ht="12.75" customHeight="1" s="104">
      <c r="A16" s="19" t="n"/>
      <c r="B16" s="112" t="inlineStr">
        <is>
          <t>C ( mol/s)</t>
        </is>
      </c>
      <c r="C16" s="110" t="n">
        <v>0.0025181331</v>
      </c>
      <c r="D16" s="110" t="n">
        <v>0.0028016148</v>
      </c>
      <c r="E16" s="110" t="n">
        <v>0.0030506727</v>
      </c>
      <c r="F16" s="110" t="n">
        <v>0.0032727566</v>
      </c>
      <c r="G16" s="139" t="n"/>
      <c r="H16" s="110" t="n">
        <v>0.0034551414</v>
      </c>
      <c r="I16" s="110" t="n">
        <v>0.0039865082</v>
      </c>
      <c r="J16" s="110" t="n">
        <v>0.0044820643</v>
      </c>
      <c r="K16" s="110" t="n">
        <v>0.0049280784</v>
      </c>
      <c r="L16" s="139" t="n"/>
      <c r="M16" s="110" t="n">
        <v>0.0041554145</v>
      </c>
      <c r="N16" s="110" t="n">
        <v>0.0048755291</v>
      </c>
      <c r="O16" s="110" t="n">
        <v>0.0055429503</v>
      </c>
      <c r="P16" s="110" t="n">
        <v>0.0061199275</v>
      </c>
      <c r="Q16" s="141" t="n"/>
      <c r="R16" s="110" t="n">
        <v>0.0045723627</v>
      </c>
      <c r="S16" s="110" t="n">
        <v>0.0054659363</v>
      </c>
      <c r="T16" s="110" t="n">
        <v>0.0062874854</v>
      </c>
      <c r="U16" s="110" t="n">
        <v>0.0069845396</v>
      </c>
      <c r="V16" s="141" t="n"/>
      <c r="W16" s="110" t="n">
        <v>0.0046622512</v>
      </c>
      <c r="X16" s="110" t="n">
        <v>0.0056961428</v>
      </c>
      <c r="Y16" s="110" t="n">
        <v>0.0066520328</v>
      </c>
      <c r="Z16" s="110" t="n">
        <v>0.0074758442</v>
      </c>
      <c r="AA16" s="141" t="n"/>
      <c r="AB16" s="40" t="n">
        <v>0.004489211</v>
      </c>
      <c r="AC16" s="144" t="n"/>
      <c r="AD16" s="144" t="n"/>
      <c r="AE16" s="144" t="n"/>
      <c r="AF16" s="141" t="n"/>
      <c r="AG16" s="45" t="n"/>
      <c r="AH16" s="144" t="n"/>
      <c r="AI16" s="144" t="n"/>
      <c r="AJ16" s="144" t="n"/>
    </row>
    <row r="17" ht="12.75" customHeight="1" s="104">
      <c r="A17" s="13" t="n"/>
      <c r="B17" s="112" t="inlineStr">
        <is>
          <t>H2 (mol/s)</t>
        </is>
      </c>
      <c r="C17" s="110" t="n">
        <v>0.0012195047</v>
      </c>
      <c r="D17" s="110" t="n">
        <v>0.0014531137</v>
      </c>
      <c r="E17" s="110" t="n">
        <v>0.0017437991</v>
      </c>
      <c r="F17" s="110" t="n">
        <v>0.0021966946</v>
      </c>
      <c r="G17" s="139" t="n"/>
      <c r="H17" s="110" t="n">
        <v>0.0020996517</v>
      </c>
      <c r="I17" s="110" t="n">
        <v>0.002585357</v>
      </c>
      <c r="J17" s="110" t="n">
        <v>0.0032245806</v>
      </c>
      <c r="K17" s="110" t="n">
        <v>0.0042890766</v>
      </c>
      <c r="L17" s="139" t="n"/>
      <c r="M17" s="110" t="n">
        <v>0.0031646059</v>
      </c>
      <c r="N17" s="110" t="n">
        <v>0.0039541341</v>
      </c>
      <c r="O17" s="110" t="n">
        <v>0.0049778578</v>
      </c>
      <c r="P17" s="110" t="n">
        <v>0.0065619346</v>
      </c>
      <c r="Q17" s="141" t="n"/>
      <c r="R17" s="110" t="n">
        <v>0.0042758061</v>
      </c>
      <c r="S17" s="110" t="n">
        <v>0.0053932832</v>
      </c>
      <c r="T17" s="110" t="n">
        <v>0.0067783606</v>
      </c>
      <c r="U17" s="110" t="n">
        <v>0.008698285</v>
      </c>
      <c r="V17" s="141" t="n"/>
      <c r="W17" s="110" t="n">
        <v>0.0052694918</v>
      </c>
      <c r="X17" s="110" t="n">
        <v>0.0066860339</v>
      </c>
      <c r="Y17" s="110" t="n">
        <v>0.008354834199999999</v>
      </c>
      <c r="Z17" s="110" t="n">
        <v>0.01045763</v>
      </c>
      <c r="AA17" s="141" t="n"/>
      <c r="AB17" s="40" t="n">
        <v>0.0060699383</v>
      </c>
      <c r="AC17" s="144" t="n"/>
      <c r="AD17" s="144" t="n"/>
      <c r="AE17" s="144" t="n"/>
      <c r="AF17" s="141" t="n"/>
      <c r="AG17" s="45" t="n"/>
      <c r="AH17" s="144" t="n"/>
      <c r="AI17" s="144" t="n"/>
      <c r="AJ17" s="144" t="n"/>
    </row>
    <row r="18" ht="12.75" customHeight="1" s="104">
      <c r="A18" s="29" t="inlineStr">
        <is>
          <t>OUT</t>
        </is>
      </c>
      <c r="B18" s="30" t="inlineStr">
        <is>
          <t>OUT Molar Flow (mol/s) =</t>
        </is>
      </c>
      <c r="C18" s="142">
        <f>SUM(C12:C17)</f>
        <v/>
      </c>
      <c r="D18" s="142">
        <f>SUM(D12:D17)</f>
        <v/>
      </c>
      <c r="E18" s="142">
        <f>SUM(E12:E17)</f>
        <v/>
      </c>
      <c r="F18" s="142">
        <f>SUM(F12:F17)</f>
        <v/>
      </c>
      <c r="G18" s="139" t="n"/>
      <c r="H18" s="142">
        <f>SUM(H12:H17)</f>
        <v/>
      </c>
      <c r="I18" s="142">
        <f>SUM(I12:I17)</f>
        <v/>
      </c>
      <c r="J18" s="142">
        <f>SUM(J12:J17)</f>
        <v/>
      </c>
      <c r="K18" s="142">
        <f>SUM(K12:K17)</f>
        <v/>
      </c>
      <c r="L18" s="139" t="n"/>
      <c r="M18" s="142">
        <f>SUM(M12:M17)</f>
        <v/>
      </c>
      <c r="N18" s="142">
        <f>SUM(N12:N17)</f>
        <v/>
      </c>
      <c r="O18" s="142">
        <f>SUM(O12:O17)</f>
        <v/>
      </c>
      <c r="P18" s="142">
        <f>SUM(P12:P17)</f>
        <v/>
      </c>
      <c r="Q18" s="141" t="n"/>
      <c r="R18" s="142">
        <f>SUM(R12:R17)</f>
        <v/>
      </c>
      <c r="S18" s="142">
        <f>SUM(S12:S17)</f>
        <v/>
      </c>
      <c r="T18" s="142">
        <f>SUM(T12:T17)</f>
        <v/>
      </c>
      <c r="U18" s="142">
        <f>SUM(U12:U17)</f>
        <v/>
      </c>
      <c r="V18" s="141" t="n"/>
      <c r="W18" s="142">
        <f>SUM(W12:W17)</f>
        <v/>
      </c>
      <c r="X18" s="142">
        <f>SUM(X12:X17)</f>
        <v/>
      </c>
      <c r="Y18" s="142">
        <f>SUM(Y12:Y17)</f>
        <v/>
      </c>
      <c r="Z18" s="142">
        <f>SUM(Z12:Z17)</f>
        <v/>
      </c>
      <c r="AA18" s="141" t="n"/>
      <c r="AB18" s="145">
        <f>SUM(AB12:AB17)</f>
        <v/>
      </c>
      <c r="AC18" s="142" t="n"/>
      <c r="AD18" s="142" t="n"/>
      <c r="AE18" s="142" t="n"/>
      <c r="AF18" s="141" t="n"/>
      <c r="AG18" s="142" t="n"/>
      <c r="AH18" s="142" t="n"/>
      <c r="AI18" s="142" t="n"/>
      <c r="AJ18" s="142" t="n"/>
    </row>
    <row r="19" ht="12.75" customHeight="1" s="104">
      <c r="C19" s="146" t="n"/>
      <c r="D19" s="146" t="n"/>
      <c r="E19" s="146" t="n"/>
      <c r="F19" s="146" t="n"/>
      <c r="G19" s="139" t="n"/>
      <c r="H19" s="146" t="n"/>
      <c r="I19" s="146" t="n"/>
      <c r="J19" s="146" t="n"/>
      <c r="K19" s="146" t="n"/>
      <c r="L19" s="139" t="n"/>
      <c r="M19" s="146" t="n"/>
      <c r="N19" s="146" t="n"/>
      <c r="O19" s="146" t="n"/>
      <c r="P19" s="146" t="n"/>
      <c r="Q19" s="141" t="n"/>
      <c r="R19" s="146" t="n"/>
      <c r="S19" s="146" t="n"/>
      <c r="T19" s="146" t="n"/>
      <c r="U19" s="146" t="n"/>
      <c r="V19" s="141" t="n"/>
      <c r="W19" s="146" t="n"/>
      <c r="X19" s="146" t="n"/>
      <c r="Y19" s="146" t="n"/>
      <c r="Z19" s="146" t="n"/>
      <c r="AA19" s="141" t="n"/>
      <c r="AB19" s="147" t="n"/>
      <c r="AC19" s="146" t="n"/>
      <c r="AD19" s="146" t="n"/>
      <c r="AE19" s="146" t="n"/>
      <c r="AF19" s="141" t="n"/>
      <c r="AG19" s="146" t="n"/>
      <c r="AH19" s="146" t="n"/>
      <c r="AI19" s="146" t="n"/>
      <c r="AJ19" s="146" t="n"/>
      <c r="AL19" s="110" t="n"/>
    </row>
    <row r="20" ht="12.75" customHeight="1" s="104">
      <c r="A20" s="11" t="inlineStr">
        <is>
          <t>P</t>
        </is>
      </c>
      <c r="B20" t="inlineStr">
        <is>
          <t>Reaction Coordinate  DRM (mol/s)</t>
        </is>
      </c>
      <c r="C20" s="108" t="n">
        <v>5.45984e-07</v>
      </c>
      <c r="D20" s="108" t="n">
        <v>5.86122e-07</v>
      </c>
      <c r="E20" s="108" t="n">
        <v>6.15294e-07</v>
      </c>
      <c r="F20" s="108" t="n">
        <v>6.18875e-07</v>
      </c>
      <c r="G20" s="139" t="n"/>
      <c r="H20" s="108" t="n">
        <v>7.91456e-07</v>
      </c>
      <c r="I20" s="108" t="n">
        <v>8.64966e-07</v>
      </c>
      <c r="J20" s="108" t="n">
        <v>9.13743e-07</v>
      </c>
      <c r="K20" s="108" t="n">
        <v>8.63671e-07</v>
      </c>
      <c r="L20" s="139" t="n"/>
      <c r="M20" s="108" t="n">
        <v>8.01762e-07</v>
      </c>
      <c r="N20" s="108" t="n">
        <v>6.81568e-07</v>
      </c>
      <c r="O20" s="108" t="n">
        <v>5.2599e-07</v>
      </c>
      <c r="P20" s="108" t="n">
        <v>4.10008e-07</v>
      </c>
      <c r="Q20" s="141" t="n"/>
      <c r="R20" s="108" t="n">
        <v>2.16704e-06</v>
      </c>
      <c r="S20" s="108" t="n">
        <v>2.12768e-06</v>
      </c>
      <c r="T20" s="108" t="n">
        <v>1.91792e-06</v>
      </c>
      <c r="U20" s="108" t="n">
        <v>1.49585e-06</v>
      </c>
      <c r="V20" s="141" t="n"/>
      <c r="W20" s="108" t="n">
        <v>3.76617e-06</v>
      </c>
      <c r="X20" s="108" t="n">
        <v>3.91314e-06</v>
      </c>
      <c r="Y20" s="108" t="n">
        <v>3.81141e-06</v>
      </c>
      <c r="Z20" s="108" t="n">
        <v>3.17346e-06</v>
      </c>
      <c r="AA20" s="141" t="n"/>
      <c r="AB20" s="38" t="n">
        <v>4.06427e-06</v>
      </c>
      <c r="AC20" s="144" t="n"/>
      <c r="AD20" s="144" t="n"/>
      <c r="AE20" s="45" t="n"/>
      <c r="AF20" s="141" t="n"/>
      <c r="AG20" s="46" t="n"/>
      <c r="AH20" s="144" t="n"/>
      <c r="AI20" s="144" t="n"/>
      <c r="AJ20" s="45" t="n"/>
      <c r="AL20" s="110" t="n"/>
    </row>
    <row r="21" ht="12.75" customHeight="1" s="104">
      <c r="A21" s="13" t="n"/>
      <c r="B21" s="110" t="inlineStr">
        <is>
          <t xml:space="preserve">CH₄ + CO₂ ⇌ 2CO + 2H₂ </t>
        </is>
      </c>
      <c r="C21" s="141" t="n"/>
      <c r="D21" s="139" t="n"/>
      <c r="E21" s="141" t="n"/>
      <c r="F21" s="141" t="n"/>
      <c r="G21" s="139" t="n"/>
      <c r="H21" s="141" t="n"/>
      <c r="I21" s="139" t="n"/>
      <c r="J21" s="141" t="n"/>
      <c r="K21" s="141" t="n"/>
      <c r="L21" s="139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10" t="n"/>
      <c r="Z21" s="141" t="n"/>
      <c r="AA21" s="141" t="n"/>
      <c r="AB21" s="143" t="n"/>
      <c r="AC21" s="148" t="n"/>
      <c r="AD21" s="148" t="n"/>
      <c r="AE21" s="49" t="n"/>
      <c r="AF21" s="141" t="n"/>
      <c r="AG21" s="148" t="n"/>
      <c r="AH21" s="148" t="n"/>
      <c r="AI21" s="148" t="n"/>
      <c r="AJ21" s="49" t="n"/>
    </row>
    <row r="22" ht="12.75" customHeight="1" s="104">
      <c r="A22" s="13" t="inlineStr">
        <is>
          <t>R</t>
        </is>
      </c>
      <c r="C22" s="141" t="n"/>
      <c r="D22" s="139" t="n"/>
      <c r="E22" s="141" t="n"/>
      <c r="F22" s="141" t="n"/>
      <c r="G22" s="141" t="n"/>
      <c r="H22" s="141" t="n"/>
      <c r="I22" s="139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  <c r="AA22" s="141" t="n"/>
      <c r="AB22" s="143" t="n"/>
      <c r="AC22" s="148" t="n"/>
      <c r="AD22" s="148" t="n"/>
      <c r="AE22" s="49" t="n"/>
      <c r="AF22" s="141" t="n"/>
      <c r="AG22" s="148" t="n"/>
      <c r="AH22" s="148" t="n"/>
      <c r="AI22" s="148" t="n"/>
      <c r="AJ22" s="49" t="n"/>
    </row>
    <row r="23" ht="12.75" customHeight="1" s="104">
      <c r="A23" s="13" t="n"/>
      <c r="B23" t="inlineStr">
        <is>
          <t>Reaction Coordinate RWGS (mol/s)</t>
        </is>
      </c>
      <c r="C23" s="108" t="n">
        <v>1.36821e-06</v>
      </c>
      <c r="D23" s="108" t="n">
        <v>1.29078e-06</v>
      </c>
      <c r="E23" s="108" t="n">
        <v>1.34112e-06</v>
      </c>
      <c r="F23" s="108" t="n">
        <v>1.23749e-06</v>
      </c>
      <c r="G23" s="141" t="n"/>
      <c r="H23" s="108" t="n">
        <v>1.84954e-06</v>
      </c>
      <c r="I23" s="108" t="n">
        <v>1.85462e-06</v>
      </c>
      <c r="J23" s="108" t="n">
        <v>1.78533e-06</v>
      </c>
      <c r="K23" s="108" t="n">
        <v>1.56877e-06</v>
      </c>
      <c r="L23" s="141" t="n"/>
      <c r="M23" s="108" t="n">
        <v>2.26407e-06</v>
      </c>
      <c r="N23" s="108" t="n">
        <v>2.2077e-06</v>
      </c>
      <c r="O23" s="108" t="n">
        <v>2.03993e-06</v>
      </c>
      <c r="P23" s="108" t="n">
        <v>1.67651e-06</v>
      </c>
      <c r="Q23" s="141" t="n"/>
      <c r="R23" s="108" t="n">
        <v>2.61998e-06</v>
      </c>
      <c r="S23" s="108" t="n">
        <v>2.47657e-06</v>
      </c>
      <c r="T23" s="108" t="n">
        <v>2.19566e-06</v>
      </c>
      <c r="U23" s="108" t="n">
        <v>1.71507e-06</v>
      </c>
      <c r="V23" s="141" t="n"/>
      <c r="W23" s="108" t="n">
        <v>2.92696e-06</v>
      </c>
      <c r="X23" s="108" t="n">
        <v>2.68778e-06</v>
      </c>
      <c r="Y23" s="108" t="n">
        <v>2.30048e-06</v>
      </c>
      <c r="Z23" s="108" t="n">
        <v>1.73301e-06</v>
      </c>
      <c r="AA23" s="141" t="n"/>
      <c r="AB23" s="38" t="n">
        <v>3.20435e-06</v>
      </c>
      <c r="AC23" s="144" t="n"/>
      <c r="AD23" s="144" t="n"/>
      <c r="AE23" s="45" t="n"/>
      <c r="AF23" s="141" t="n"/>
      <c r="AG23" s="46" t="n"/>
      <c r="AH23" s="144" t="n"/>
      <c r="AI23" s="144" t="n"/>
      <c r="AJ23" s="45" t="n"/>
    </row>
    <row r="24" ht="12.75" customHeight="1" s="104">
      <c r="A24" s="13" t="inlineStr">
        <is>
          <t>F</t>
        </is>
      </c>
      <c r="B24" s="110" t="inlineStr">
        <is>
          <t xml:space="preserve">CO₂ + H₂ ⇌ CO + H₂O </t>
        </is>
      </c>
      <c r="C24" s="141" t="n"/>
      <c r="D24" s="141" t="n"/>
      <c r="E24" s="141" t="n"/>
      <c r="F24" s="141" t="n"/>
      <c r="G24" s="141" t="n"/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  <c r="AA24" s="141" t="n"/>
      <c r="AB24" s="143" t="n"/>
      <c r="AC24" s="148" t="n"/>
      <c r="AD24" s="148" t="n"/>
      <c r="AE24" s="49" t="n"/>
      <c r="AF24" s="141" t="n"/>
      <c r="AG24" s="148" t="n"/>
      <c r="AH24" s="148" t="n"/>
      <c r="AI24" s="148" t="n"/>
      <c r="AJ24" s="49" t="n"/>
    </row>
    <row r="25" ht="12.75" customHeight="1" s="104">
      <c r="A25" s="13" t="n"/>
      <c r="C25" s="141" t="n"/>
      <c r="D25" s="141" t="n"/>
      <c r="E25" s="141" t="n"/>
      <c r="F25" s="141" t="n"/>
      <c r="G25" s="141" t="n"/>
      <c r="H25" s="141" t="n"/>
      <c r="I25" s="141" t="n"/>
      <c r="J25" s="141" t="n"/>
      <c r="K25" s="108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  <c r="AA25" s="141" t="n"/>
      <c r="AB25" s="143" t="n"/>
      <c r="AC25" s="148" t="n"/>
      <c r="AD25" s="148" t="n"/>
      <c r="AE25" s="45" t="n"/>
      <c r="AF25" s="141" t="n"/>
      <c r="AG25" s="148" t="n"/>
      <c r="AH25" s="148" t="n"/>
      <c r="AI25" s="148" t="n"/>
      <c r="AJ25" s="45" t="n"/>
    </row>
    <row r="26" ht="12.75" customHeight="1" s="104">
      <c r="A26" s="13" t="n"/>
      <c r="B26" t="inlineStr">
        <is>
          <t>Reaction Coordinate DM (mol/s)</t>
        </is>
      </c>
      <c r="C26" s="108" t="n">
        <v>1.15596e-06</v>
      </c>
      <c r="D26" s="108" t="n">
        <v>1.37599e-06</v>
      </c>
      <c r="E26" s="108" t="n">
        <v>1.4299e-06</v>
      </c>
      <c r="F26" s="108" t="n">
        <v>1.61677e-06</v>
      </c>
      <c r="G26" s="141" t="n"/>
      <c r="H26" s="108" t="n">
        <v>1.67666e-06</v>
      </c>
      <c r="I26" s="108" t="n">
        <v>1.94386e-06</v>
      </c>
      <c r="J26" s="108" t="n">
        <v>2.25025e-06</v>
      </c>
      <c r="K26" s="108" t="n">
        <v>2.73164e-06</v>
      </c>
      <c r="L26" s="141" t="n"/>
      <c r="M26" s="108" t="n">
        <v>2.39293e-06</v>
      </c>
      <c r="N26" s="108" t="n">
        <v>2.99755e-06</v>
      </c>
      <c r="O26" s="108" t="n">
        <v>3.66092e-06</v>
      </c>
      <c r="P26" s="108" t="n">
        <v>4.37612e-06</v>
      </c>
      <c r="Q26" s="141" t="n"/>
      <c r="R26" s="108" t="n">
        <v>1.65568e-06</v>
      </c>
      <c r="S26" s="108" t="n">
        <v>2.31758e-06</v>
      </c>
      <c r="T26" s="108" t="n">
        <v>3.16925e-06</v>
      </c>
      <c r="U26" s="108" t="n">
        <v>4.30345e-06</v>
      </c>
      <c r="V26" s="141" t="n"/>
      <c r="W26" s="108" t="n">
        <v>5.2007e-07</v>
      </c>
      <c r="X26" s="108" t="n">
        <v>1.11018e-06</v>
      </c>
      <c r="Y26" s="108" t="n">
        <v>1.95771e-06</v>
      </c>
      <c r="Z26" s="108" t="n">
        <v>3.38204e-06</v>
      </c>
      <c r="AA26" s="141" t="n"/>
      <c r="AB26" s="38" t="n">
        <v>5.23569e-07</v>
      </c>
      <c r="AC26" s="144" t="n"/>
      <c r="AD26" s="144" t="n"/>
      <c r="AE26" s="45" t="n"/>
      <c r="AF26" s="141" t="n"/>
      <c r="AG26" s="46" t="n"/>
      <c r="AH26" s="144" t="n"/>
      <c r="AI26" s="144" t="n"/>
      <c r="AJ26" s="45" t="n"/>
    </row>
    <row r="27" ht="12.75" customHeight="1" s="104">
      <c r="A27" s="13" t="inlineStr">
        <is>
          <t>-</t>
        </is>
      </c>
      <c r="B27" s="110" t="inlineStr">
        <is>
          <t xml:space="preserve">CH₄ ⇌ C(s) + 2H₂ </t>
        </is>
      </c>
      <c r="AB27" s="51" t="n"/>
      <c r="AC27" s="49" t="n"/>
      <c r="AD27" s="49" t="n"/>
      <c r="AE27" s="49" t="n"/>
      <c r="AG27" s="49" t="n"/>
      <c r="AH27" s="49" t="n"/>
      <c r="AI27" s="49" t="n"/>
      <c r="AJ27" s="49" t="n"/>
    </row>
    <row r="28" ht="12.75" customHeight="1" s="104">
      <c r="A28" s="19" t="n"/>
      <c r="AB28" s="51" t="n"/>
      <c r="AC28" s="49" t="n"/>
      <c r="AD28" s="49" t="n"/>
      <c r="AE28" s="49" t="n"/>
      <c r="AG28" s="49" t="n"/>
      <c r="AH28" s="49" t="n"/>
      <c r="AI28" s="49" t="n"/>
      <c r="AJ28" s="49" t="n"/>
    </row>
    <row r="29" ht="12.75" customHeight="1" s="104">
      <c r="A29" s="13" t="n">
        <v>1</v>
      </c>
      <c r="B29" s="112" t="inlineStr">
        <is>
          <t>Convertion CH4 (%)</t>
        </is>
      </c>
      <c r="C29" s="40" t="n">
        <v>34.039</v>
      </c>
      <c r="D29" s="110" t="n">
        <v>31.2818</v>
      </c>
      <c r="E29" s="110" t="n">
        <v>29.2171</v>
      </c>
      <c r="F29" s="110" t="n">
        <v>27.9456</v>
      </c>
      <c r="H29" s="40" t="n">
        <v>49.3623</v>
      </c>
      <c r="I29" s="110" t="n">
        <v>46.8138</v>
      </c>
      <c r="J29" s="110" t="n">
        <v>45.1999</v>
      </c>
      <c r="K29" s="110" t="n">
        <v>44.9413</v>
      </c>
      <c r="M29" s="110" t="n">
        <v>63.8939</v>
      </c>
      <c r="N29" s="110" t="n">
        <v>61.3187</v>
      </c>
      <c r="O29" s="110" t="n">
        <v>59.813</v>
      </c>
      <c r="P29" s="110" t="n">
        <v>59.8265</v>
      </c>
      <c r="R29" s="110" t="n">
        <v>76.4543</v>
      </c>
      <c r="S29" s="110" t="n">
        <v>74.0877</v>
      </c>
      <c r="T29" s="110" t="n">
        <v>72.6738</v>
      </c>
      <c r="U29" s="110" t="n">
        <v>72.49120000000001</v>
      </c>
      <c r="W29" s="110" t="n">
        <v>85.7247</v>
      </c>
      <c r="X29" s="110" t="n">
        <v>83.72199999999999</v>
      </c>
      <c r="Y29" s="110" t="n">
        <v>82.41589999999999</v>
      </c>
      <c r="Z29" s="110" t="n">
        <v>81.94370000000001</v>
      </c>
      <c r="AB29" s="40" t="n">
        <v>91.7567</v>
      </c>
      <c r="AC29" s="45" t="n"/>
      <c r="AD29" s="45" t="n"/>
      <c r="AE29" s="45" t="n"/>
      <c r="AG29" s="45" t="n"/>
      <c r="AH29" s="45" t="n"/>
      <c r="AI29" s="45" t="n"/>
      <c r="AJ29" s="45" t="n"/>
    </row>
    <row r="30" ht="12.75" customHeight="1" s="104">
      <c r="A30" s="20" t="n"/>
      <c r="B30" s="112" t="inlineStr">
        <is>
          <t>Convertion CO2 (%)</t>
        </is>
      </c>
      <c r="C30" s="40" t="n">
        <v>27.3642</v>
      </c>
      <c r="D30" s="110" t="n">
        <v>34.3998</v>
      </c>
      <c r="E30" s="110" t="n">
        <v>44.7041</v>
      </c>
      <c r="F30" s="110" t="n">
        <v>61.8744</v>
      </c>
      <c r="H30" s="40" t="n">
        <v>36.9909</v>
      </c>
      <c r="I30" s="110" t="n">
        <v>46.3655</v>
      </c>
      <c r="J30" s="110" t="n">
        <v>59.511</v>
      </c>
      <c r="K30" s="110" t="n">
        <v>78.4383</v>
      </c>
      <c r="M30" s="110" t="n">
        <v>45.2814</v>
      </c>
      <c r="N30" s="110" t="n">
        <v>55.1925</v>
      </c>
      <c r="O30" s="110" t="n">
        <v>67.99769999999999</v>
      </c>
      <c r="P30" s="110" t="n">
        <v>83.82550000000001</v>
      </c>
      <c r="R30" s="110" t="n">
        <v>52.3996</v>
      </c>
      <c r="S30" s="110" t="n">
        <v>61.9144</v>
      </c>
      <c r="T30" s="110" t="n">
        <v>73.18859999999999</v>
      </c>
      <c r="U30" s="110" t="n">
        <v>85.75369999999999</v>
      </c>
      <c r="W30" s="110" t="n">
        <v>58.5393</v>
      </c>
      <c r="X30" s="110" t="n">
        <v>67.19450000000001</v>
      </c>
      <c r="Y30" s="110" t="n">
        <v>76.6828</v>
      </c>
      <c r="Z30" s="110" t="n">
        <v>86.65049999999999</v>
      </c>
      <c r="AB30" s="40" t="n">
        <v>64.087</v>
      </c>
      <c r="AC30" s="45" t="n"/>
      <c r="AD30" s="45" t="n"/>
      <c r="AE30" s="45" t="n"/>
      <c r="AG30" s="45" t="n"/>
      <c r="AH30" s="45" t="n"/>
      <c r="AI30" s="45" t="n"/>
      <c r="AJ30" s="45" t="n"/>
    </row>
    <row r="31" ht="12.75" customHeight="1" s="104">
      <c r="B31" s="112" t="inlineStr">
        <is>
          <t>Selec ( C )</t>
        </is>
      </c>
      <c r="C31">
        <f>C26/(C20+C26)</f>
        <v/>
      </c>
      <c r="D31">
        <f>D26/(D20+D26)</f>
        <v/>
      </c>
      <c r="E31">
        <f>E26/(E20+E26)</f>
        <v/>
      </c>
      <c r="F31">
        <f>F26/(F20+F26)</f>
        <v/>
      </c>
      <c r="H31">
        <f>H26/(H20+H26)</f>
        <v/>
      </c>
      <c r="I31">
        <f>I26/(I20+I26)</f>
        <v/>
      </c>
      <c r="J31">
        <f>J26/(J20+J26)</f>
        <v/>
      </c>
      <c r="K31">
        <f>K26/(K20+K26)</f>
        <v/>
      </c>
      <c r="M31">
        <f>M26/(M20+M26)</f>
        <v/>
      </c>
      <c r="N31">
        <f>N26/(N20+N26)</f>
        <v/>
      </c>
      <c r="O31">
        <f>O26/(O20+O26)</f>
        <v/>
      </c>
      <c r="P31">
        <f>P26/(P20+P26)</f>
        <v/>
      </c>
      <c r="R31">
        <f>R26/(R20+R26)</f>
        <v/>
      </c>
      <c r="S31">
        <f>S26/(S20+S26)</f>
        <v/>
      </c>
      <c r="T31">
        <f>T26/(T20+T26)</f>
        <v/>
      </c>
      <c r="U31">
        <f>U26/(U20+U26)</f>
        <v/>
      </c>
      <c r="W31">
        <f>W26/(W20+W26)</f>
        <v/>
      </c>
      <c r="X31">
        <f>X26/(X20+X26)</f>
        <v/>
      </c>
      <c r="Y31">
        <f>Y26/(Y20+Y26)</f>
        <v/>
      </c>
      <c r="Z31">
        <f>Z26/(Z20+Z26)</f>
        <v/>
      </c>
      <c r="AB31">
        <f>AB26/(AB20+AB26)</f>
        <v/>
      </c>
    </row>
    <row r="32" ht="12.75" customHeight="1" s="104">
      <c r="B32" s="112" t="inlineStr">
        <is>
          <t>H2 / CO</t>
        </is>
      </c>
      <c r="C32">
        <f>C17/C14</f>
        <v/>
      </c>
      <c r="D32">
        <f>D17/D14</f>
        <v/>
      </c>
      <c r="E32">
        <f>E17/E14</f>
        <v/>
      </c>
      <c r="F32">
        <f>F17/F14</f>
        <v/>
      </c>
      <c r="H32">
        <f>H17/H14</f>
        <v/>
      </c>
      <c r="I32">
        <f>I17/I14</f>
        <v/>
      </c>
      <c r="J32">
        <f>J17/J14</f>
        <v/>
      </c>
      <c r="K32">
        <f>K17/K14</f>
        <v/>
      </c>
      <c r="M32">
        <f>M17/M14</f>
        <v/>
      </c>
      <c r="N32">
        <f>N17/N14</f>
        <v/>
      </c>
      <c r="O32">
        <f>O17/O14</f>
        <v/>
      </c>
      <c r="P32">
        <f>P17/P14</f>
        <v/>
      </c>
      <c r="R32">
        <f>R17/R14</f>
        <v/>
      </c>
      <c r="S32">
        <f>S17/S14</f>
        <v/>
      </c>
      <c r="T32">
        <f>T17/T14</f>
        <v/>
      </c>
      <c r="U32">
        <f>U17/U14</f>
        <v/>
      </c>
      <c r="W32">
        <f>W17/W14</f>
        <v/>
      </c>
      <c r="X32">
        <f>X17/X14</f>
        <v/>
      </c>
      <c r="Y32">
        <f>Y17/Y14</f>
        <v/>
      </c>
      <c r="Z32">
        <f>Z17/Z14</f>
        <v/>
      </c>
      <c r="AB32">
        <f>AB17/AB14</f>
        <v/>
      </c>
    </row>
    <row r="33" ht="12.75" customHeight="1" s="104"/>
    <row r="34" ht="12.75" customHeight="1" s="104"/>
    <row r="35" ht="12.75" customHeight="1" s="104"/>
    <row r="36" ht="12.75" customHeight="1" s="104"/>
    <row r="37" ht="12.75" customHeight="1" s="104"/>
  </sheetData>
  <pageMargins left="0.39375" right="0.39375" top="0.7875" bottom="0.7875" header="0.511811023622047" footer="0.511811023622047"/>
  <pageSetup orientation="landscape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0"/>
  <sheetViews>
    <sheetView zoomScale="83" zoomScaleNormal="83" workbookViewId="0">
      <selection activeCell="AL16" sqref="AC1:AL16"/>
    </sheetView>
  </sheetViews>
  <sheetFormatPr baseColWidth="8" defaultColWidth="11.5703125" defaultRowHeight="12.75"/>
  <cols>
    <col width="6.5703125" customWidth="1" style="104" min="1" max="1"/>
    <col width="30.7109375" customWidth="1" style="104" min="2" max="2"/>
    <col width="12.7109375" customWidth="1" style="104" min="3" max="6"/>
    <col width="2" customWidth="1" style="104" min="7" max="7"/>
    <col width="12.7109375" customWidth="1" style="104" min="8" max="11"/>
    <col width="2" customWidth="1" style="104" min="12" max="12"/>
    <col width="12.7109375" customWidth="1" style="104" min="13" max="16"/>
    <col width="2" customWidth="1" style="104" min="17" max="17"/>
    <col width="12.7109375" customWidth="1" style="104" min="18" max="21"/>
    <col width="2" customWidth="1" style="104" min="22" max="22"/>
    <col width="12.7109375" customWidth="1" style="104" min="23" max="26"/>
    <col width="2" customWidth="1" style="104" min="27" max="27"/>
    <col width="14" customWidth="1" style="104" min="28" max="28"/>
    <col width="2" customWidth="1" style="104" min="32" max="32"/>
  </cols>
  <sheetData>
    <row r="1" ht="12.75" customHeight="1" s="104"/>
    <row r="2" ht="12.75" customHeight="1" s="104">
      <c r="A2" s="11" t="n"/>
      <c r="B2" s="112" t="inlineStr">
        <is>
          <t>Temperatura ( K ) =</t>
        </is>
      </c>
      <c r="C2" s="71" t="inlineStr">
        <is>
          <t>823 K</t>
        </is>
      </c>
      <c r="D2" s="71" t="inlineStr">
        <is>
          <t>823 K</t>
        </is>
      </c>
      <c r="E2" s="71" t="inlineStr">
        <is>
          <t>823 K</t>
        </is>
      </c>
      <c r="F2" s="71" t="inlineStr">
        <is>
          <t>823 K</t>
        </is>
      </c>
      <c r="G2" s="71" t="n"/>
      <c r="H2" s="71" t="inlineStr">
        <is>
          <t>873K</t>
        </is>
      </c>
      <c r="I2" s="71" t="inlineStr">
        <is>
          <t>873K</t>
        </is>
      </c>
      <c r="J2" s="71" t="inlineStr">
        <is>
          <t>873K</t>
        </is>
      </c>
      <c r="K2" s="71" t="inlineStr">
        <is>
          <t>873K</t>
        </is>
      </c>
      <c r="L2" s="113" t="n"/>
      <c r="M2" s="71" t="inlineStr">
        <is>
          <t>923 K</t>
        </is>
      </c>
      <c r="N2" s="71" t="inlineStr">
        <is>
          <t>923 K</t>
        </is>
      </c>
      <c r="O2" s="71" t="inlineStr">
        <is>
          <t>923 K</t>
        </is>
      </c>
      <c r="P2" s="71" t="inlineStr">
        <is>
          <t>923 K</t>
        </is>
      </c>
      <c r="Q2" s="71" t="n"/>
      <c r="R2" s="71" t="inlineStr">
        <is>
          <t>973 K</t>
        </is>
      </c>
      <c r="S2" s="71" t="inlineStr">
        <is>
          <t>973 K</t>
        </is>
      </c>
      <c r="T2" s="71" t="inlineStr">
        <is>
          <t>973 K</t>
        </is>
      </c>
      <c r="U2" s="71" t="inlineStr">
        <is>
          <t>973 K</t>
        </is>
      </c>
      <c r="W2" s="71" t="inlineStr">
        <is>
          <t>1023 K</t>
        </is>
      </c>
      <c r="X2" s="71" t="inlineStr">
        <is>
          <t>1023 K</t>
        </is>
      </c>
      <c r="Y2" s="71" t="inlineStr">
        <is>
          <t>1023 K</t>
        </is>
      </c>
      <c r="Z2" s="71" t="inlineStr">
        <is>
          <t>1023 K</t>
        </is>
      </c>
      <c r="AB2" s="71" t="inlineStr">
        <is>
          <t>1073 K</t>
        </is>
      </c>
      <c r="AC2" s="71" t="n"/>
      <c r="AD2" s="71" t="n"/>
      <c r="AE2" s="71" t="n"/>
      <c r="AG2" s="71" t="n"/>
      <c r="AH2" s="71" t="n"/>
      <c r="AI2" s="71" t="n"/>
      <c r="AJ2" s="71" t="n"/>
    </row>
    <row r="3" ht="12.75" customHeight="1" s="104">
      <c r="A3" s="13" t="inlineStr">
        <is>
          <t>F</t>
        </is>
      </c>
      <c r="B3" s="112" t="inlineStr">
        <is>
          <t>Pressão ( Pa ) =</t>
        </is>
      </c>
      <c r="C3" t="n">
        <v>1519875</v>
      </c>
      <c r="D3" t="n">
        <v>1519875</v>
      </c>
      <c r="E3" t="n">
        <v>1519875</v>
      </c>
      <c r="F3" t="n">
        <v>1519875</v>
      </c>
      <c r="H3" t="n">
        <v>1519875</v>
      </c>
      <c r="I3" t="n">
        <v>1519875</v>
      </c>
      <c r="J3" t="n">
        <v>1519875</v>
      </c>
      <c r="K3" t="n">
        <v>1519875</v>
      </c>
      <c r="M3" t="n">
        <v>1519875</v>
      </c>
      <c r="N3" t="n">
        <v>1519875</v>
      </c>
      <c r="O3" t="n">
        <v>1519875</v>
      </c>
      <c r="P3" t="n">
        <v>1519875</v>
      </c>
      <c r="R3" t="n">
        <v>1519875</v>
      </c>
      <c r="S3" t="n">
        <v>1519875</v>
      </c>
      <c r="T3" t="n">
        <v>1519875</v>
      </c>
      <c r="U3" t="n">
        <v>1519875</v>
      </c>
      <c r="W3" t="n">
        <v>1519875</v>
      </c>
      <c r="X3" t="n">
        <v>1519875</v>
      </c>
      <c r="Y3" t="n">
        <v>1519875</v>
      </c>
      <c r="Z3" t="n">
        <v>1519875</v>
      </c>
      <c r="AB3" t="n">
        <v>1519875</v>
      </c>
    </row>
    <row r="4" ht="12.75" customHeight="1" s="104">
      <c r="A4" s="13" t="inlineStr">
        <is>
          <t>E</t>
        </is>
      </c>
      <c r="B4" s="112" t="inlineStr">
        <is>
          <t>“BIOGAS” Flow (mol/s) =</t>
        </is>
      </c>
      <c r="C4" t="n">
        <v>0.01</v>
      </c>
      <c r="D4" t="n">
        <v>0.01</v>
      </c>
      <c r="E4" t="n">
        <v>0.01</v>
      </c>
      <c r="F4" t="n">
        <v>0.01</v>
      </c>
      <c r="H4" t="n">
        <v>0.01</v>
      </c>
      <c r="I4" t="n">
        <v>0.01</v>
      </c>
      <c r="J4" t="n">
        <v>0.01</v>
      </c>
      <c r="K4" t="n">
        <v>0.01</v>
      </c>
      <c r="M4" t="n">
        <v>0.01</v>
      </c>
      <c r="N4" t="n">
        <v>0.01</v>
      </c>
      <c r="O4" t="n">
        <v>0.01</v>
      </c>
      <c r="P4" t="n">
        <v>0.01</v>
      </c>
      <c r="R4" t="n">
        <v>0.01</v>
      </c>
      <c r="S4" t="n">
        <v>0.01</v>
      </c>
      <c r="T4" t="n">
        <v>0.01</v>
      </c>
      <c r="U4" t="n">
        <v>0.01</v>
      </c>
      <c r="W4" t="n">
        <v>0.01</v>
      </c>
      <c r="X4" t="n">
        <v>0.01</v>
      </c>
      <c r="Y4" t="n">
        <v>0.01</v>
      </c>
      <c r="Z4" t="n">
        <v>0.01</v>
      </c>
      <c r="AB4" t="n">
        <v>0.01</v>
      </c>
    </row>
    <row r="5" ht="12.75" customHeight="1" s="104">
      <c r="A5" s="13" t="inlineStr">
        <is>
          <t>E</t>
        </is>
      </c>
    </row>
    <row r="6" ht="12.75" customHeight="1" s="104">
      <c r="A6" s="13" t="inlineStr">
        <is>
          <t>D</t>
        </is>
      </c>
      <c r="B6" s="22" t="inlineStr">
        <is>
          <t>Basis: MOLAR FRACTION</t>
        </is>
      </c>
    </row>
    <row r="7" ht="12.75" customHeight="1" s="104">
      <c r="A7" s="13" t="n"/>
      <c r="B7" s="112" t="inlineStr">
        <is>
          <t>CH4/CO2 =</t>
        </is>
      </c>
      <c r="C7" t="n">
        <v>1</v>
      </c>
      <c r="D7" t="n">
        <v>1</v>
      </c>
      <c r="E7" t="n">
        <v>1</v>
      </c>
      <c r="F7" t="n">
        <v>1</v>
      </c>
      <c r="H7" t="n">
        <v>1</v>
      </c>
      <c r="I7" t="n">
        <v>1</v>
      </c>
      <c r="J7" t="n">
        <v>1</v>
      </c>
      <c r="K7" t="n">
        <v>1</v>
      </c>
      <c r="M7" t="n">
        <v>1</v>
      </c>
      <c r="N7" t="n">
        <v>1</v>
      </c>
      <c r="O7" t="n">
        <v>1</v>
      </c>
      <c r="P7" t="n">
        <v>1</v>
      </c>
      <c r="R7" t="n">
        <v>1</v>
      </c>
      <c r="S7" t="n">
        <v>1</v>
      </c>
      <c r="T7" t="n">
        <v>1</v>
      </c>
      <c r="U7" t="n">
        <v>1</v>
      </c>
      <c r="W7" t="n">
        <v>1</v>
      </c>
      <c r="X7" t="n">
        <v>1</v>
      </c>
      <c r="Y7" t="n">
        <v>1</v>
      </c>
      <c r="Z7" t="n">
        <v>1</v>
      </c>
      <c r="AB7" t="n">
        <v>1</v>
      </c>
    </row>
    <row r="8" ht="12.75" customHeight="1" s="104">
      <c r="A8" s="23" t="inlineStr">
        <is>
          <t>IN</t>
        </is>
      </c>
      <c r="B8" s="112" t="inlineStr">
        <is>
          <t>CH4 (fração molar) =</t>
        </is>
      </c>
      <c r="C8">
        <f>C7/(1+C7)</f>
        <v/>
      </c>
      <c r="D8" t="n">
        <v>0.6</v>
      </c>
      <c r="E8" t="n">
        <v>0.7</v>
      </c>
      <c r="F8" t="n">
        <v>0.8</v>
      </c>
      <c r="H8">
        <f>H7/(1+H7)</f>
        <v/>
      </c>
      <c r="I8" t="n">
        <v>0.6</v>
      </c>
      <c r="J8" t="n">
        <v>0.7</v>
      </c>
      <c r="K8" t="n">
        <v>0.8</v>
      </c>
      <c r="M8">
        <f>M7/(1+M7)</f>
        <v/>
      </c>
      <c r="N8" t="n">
        <v>0.6</v>
      </c>
      <c r="O8" t="n">
        <v>0.7</v>
      </c>
      <c r="P8" t="n">
        <v>0.8</v>
      </c>
      <c r="R8">
        <f>R7/(1+R7)</f>
        <v/>
      </c>
      <c r="S8" t="n">
        <v>0.6</v>
      </c>
      <c r="T8" t="n">
        <v>0.7</v>
      </c>
      <c r="U8" t="n">
        <v>0.8</v>
      </c>
      <c r="W8">
        <f>W7/(1+W7)</f>
        <v/>
      </c>
      <c r="X8" t="n">
        <v>0.6</v>
      </c>
      <c r="Y8" t="n">
        <v>0.7</v>
      </c>
      <c r="Z8" t="n">
        <v>0.8</v>
      </c>
      <c r="AB8">
        <f>AB7/(1+AB7)</f>
        <v/>
      </c>
    </row>
    <row r="9" ht="12.75" customHeight="1" s="104">
      <c r="A9" s="14" t="n"/>
      <c r="B9" s="112" t="inlineStr">
        <is>
          <t>CO2 (fração molar) =</t>
        </is>
      </c>
      <c r="C9">
        <f>1/(1+C7)</f>
        <v/>
      </c>
      <c r="D9" t="n">
        <v>0.4</v>
      </c>
      <c r="E9" t="n">
        <v>0.3</v>
      </c>
      <c r="F9" t="n">
        <v>0.2</v>
      </c>
      <c r="H9">
        <f>1/(1+H7)</f>
        <v/>
      </c>
      <c r="I9" t="n">
        <v>0.4</v>
      </c>
      <c r="J9" t="n">
        <v>0.3</v>
      </c>
      <c r="K9" t="n">
        <v>0.2</v>
      </c>
      <c r="M9">
        <f>1/(1+M7)</f>
        <v/>
      </c>
      <c r="N9" t="n">
        <v>0.4</v>
      </c>
      <c r="O9" t="n">
        <v>0.3</v>
      </c>
      <c r="P9" t="n">
        <v>0.2</v>
      </c>
      <c r="R9">
        <f>1/(1+R7)</f>
        <v/>
      </c>
      <c r="S9" t="n">
        <v>0.4</v>
      </c>
      <c r="T9" t="n">
        <v>0.3</v>
      </c>
      <c r="U9" t="n">
        <v>0.2</v>
      </c>
      <c r="W9">
        <f>1/(1+W7)</f>
        <v/>
      </c>
      <c r="X9" t="n">
        <v>0.4</v>
      </c>
      <c r="Y9" t="n">
        <v>0.3</v>
      </c>
      <c r="Z9" t="n">
        <v>0.2</v>
      </c>
      <c r="AB9">
        <f>1/(1+AB7)</f>
        <v/>
      </c>
    </row>
    <row r="10" ht="12.75" customHeight="1" s="104">
      <c r="A10" s="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50" t="n"/>
      <c r="M10" s="71" t="n"/>
      <c r="N10" s="71" t="n"/>
      <c r="O10" s="71" t="n"/>
      <c r="P10" s="1" t="n"/>
      <c r="Q10" s="1" t="n"/>
      <c r="R10" s="71" t="n"/>
      <c r="S10" s="71" t="n"/>
      <c r="T10" s="71" t="n"/>
      <c r="U10" s="1" t="n"/>
      <c r="W10" s="71" t="n"/>
      <c r="X10" s="71" t="n"/>
      <c r="Y10" s="71" t="n"/>
      <c r="Z10" s="71" t="n"/>
      <c r="AB10" s="71" t="n"/>
      <c r="AC10" s="71" t="n"/>
      <c r="AD10" s="71" t="n"/>
      <c r="AE10" s="71" t="n"/>
      <c r="AG10" s="71" t="n"/>
      <c r="AH10" s="71" t="n"/>
      <c r="AI10" s="71" t="n"/>
      <c r="AJ10" s="71" t="n"/>
    </row>
    <row r="11" ht="13.5" customHeight="1" s="104">
      <c r="A11" s="24" t="n"/>
      <c r="B11" s="22" t="inlineStr">
        <is>
          <t>Basis: MOLAR FLOW</t>
        </is>
      </c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113" t="n"/>
      <c r="M11" s="71" t="n"/>
      <c r="N11" s="71" t="n"/>
      <c r="O11" s="71" t="n"/>
      <c r="P11" s="71" t="n"/>
      <c r="Q11" s="71" t="n"/>
      <c r="R11" s="71" t="n"/>
      <c r="S11" s="71" t="n"/>
      <c r="T11" s="71" t="n"/>
      <c r="U11" s="71" t="n"/>
      <c r="W11" s="71" t="n"/>
      <c r="X11" s="71" t="n"/>
      <c r="Y11" s="71" t="n"/>
      <c r="Z11" s="71" t="n"/>
      <c r="AB11" s="71" t="n"/>
      <c r="AC11" s="71" t="n"/>
      <c r="AD11" s="71" t="n"/>
      <c r="AE11" s="71" t="n"/>
      <c r="AG11" s="71" t="n"/>
      <c r="AH11" s="71" t="n"/>
      <c r="AI11" s="71" t="n"/>
      <c r="AJ11" s="71" t="n"/>
    </row>
    <row r="12" ht="18" customHeight="1" s="104">
      <c r="A12" s="13" t="inlineStr">
        <is>
          <t>P</t>
        </is>
      </c>
      <c r="B12" s="112" t="inlineStr">
        <is>
          <t>CH4 ( mol/s )</t>
        </is>
      </c>
      <c r="C12" s="110" t="n">
        <v>0.003566227</v>
      </c>
      <c r="D12" s="110" t="n">
        <v>0.0044317867</v>
      </c>
      <c r="E12" s="110" t="n">
        <v>0.0053052625</v>
      </c>
      <c r="F12" s="110" t="n">
        <v>0.0061669206</v>
      </c>
      <c r="G12" s="110" t="n"/>
      <c r="H12" s="110" t="n">
        <v>0.0028712678</v>
      </c>
      <c r="I12" s="110" t="n">
        <v>0.0035939663</v>
      </c>
      <c r="J12" s="110" t="n">
        <v>0.0043089212</v>
      </c>
      <c r="K12" s="110" t="n">
        <v>0.0049668633</v>
      </c>
      <c r="L12" s="139" t="n"/>
      <c r="M12" s="110" t="n">
        <v>0.0021796048</v>
      </c>
      <c r="N12" s="110" t="n">
        <v>0.0027742558</v>
      </c>
      <c r="O12" s="110" t="n">
        <v>0.0033482036</v>
      </c>
      <c r="P12" s="110" t="n">
        <v>0.003831711</v>
      </c>
      <c r="Q12" s="110" t="n"/>
      <c r="R12" s="110" t="n">
        <v>0.0015271941</v>
      </c>
      <c r="S12" s="110" t="n">
        <v>0.0019884896</v>
      </c>
      <c r="T12" s="110" t="n">
        <v>0.0033482036</v>
      </c>
      <c r="U12" s="110" t="n">
        <v>0.0027790765</v>
      </c>
      <c r="V12" s="141" t="n"/>
      <c r="W12" s="110" t="n">
        <v>0.0009947000399999999</v>
      </c>
      <c r="X12" s="110" t="n">
        <v>0.0013346357</v>
      </c>
      <c r="Y12" s="110" t="n">
        <v>0.0016587927</v>
      </c>
      <c r="Z12" s="110" t="n">
        <v>0.0019228924</v>
      </c>
      <c r="AA12" s="141" t="n"/>
      <c r="AB12" s="110" t="n">
        <v>0.00061240935</v>
      </c>
      <c r="AC12" s="71" t="n"/>
      <c r="AD12" s="71" t="n"/>
      <c r="AE12" s="71" t="n"/>
      <c r="AF12" s="141" t="n"/>
      <c r="AG12" s="110" t="n"/>
      <c r="AH12" s="110" t="n"/>
      <c r="AI12" s="110" t="n"/>
      <c r="AJ12" s="110" t="n"/>
    </row>
    <row r="13" ht="18" customHeight="1" s="104">
      <c r="A13" s="13" t="inlineStr">
        <is>
          <t>R</t>
        </is>
      </c>
      <c r="B13" s="112" t="inlineStr">
        <is>
          <t>CO2 ( mol/s)</t>
        </is>
      </c>
      <c r="C13" s="110" t="n">
        <v>0.003782361</v>
      </c>
      <c r="D13" s="110" t="n">
        <v>0.0027749867</v>
      </c>
      <c r="E13" s="110" t="n">
        <v>0.0018014126</v>
      </c>
      <c r="F13" s="110" t="n">
        <v>0.00087954751</v>
      </c>
      <c r="G13" s="110" t="n"/>
      <c r="H13" s="110" t="n">
        <v>0.0033055664</v>
      </c>
      <c r="I13" s="110" t="n">
        <v>0.0022898449</v>
      </c>
      <c r="J13" s="110" t="n">
        <v>0.0013337688</v>
      </c>
      <c r="K13" s="110" t="n">
        <v>0.00049668656</v>
      </c>
      <c r="L13" s="139" t="n"/>
      <c r="M13" s="110" t="n">
        <v>0.0028756021</v>
      </c>
      <c r="N13" s="110" t="n">
        <v>0.0019071838</v>
      </c>
      <c r="O13" s="110" t="n">
        <v>0.0010336931</v>
      </c>
      <c r="P13" s="110" t="n">
        <v>0.00034166077</v>
      </c>
      <c r="Q13" s="110" t="n"/>
      <c r="R13" s="110" t="n">
        <v>0.0024927289</v>
      </c>
      <c r="S13" s="110" t="n">
        <v>0.0016018079</v>
      </c>
      <c r="T13" s="110" t="n">
        <v>0.0010336931</v>
      </c>
      <c r="U13" s="110" t="n">
        <v>0.0002801018</v>
      </c>
      <c r="V13" s="141" t="n"/>
      <c r="W13" s="110" t="n">
        <v>0.0021645438</v>
      </c>
      <c r="X13" s="110" t="n">
        <v>0.0013669324</v>
      </c>
      <c r="Y13" s="110" t="n">
        <v>0.00071461369</v>
      </c>
      <c r="Z13" s="110" t="n">
        <v>0.00025582075</v>
      </c>
      <c r="AA13" s="141" t="n"/>
      <c r="AB13" s="110" t="n">
        <v>0.0018774712</v>
      </c>
      <c r="AC13" s="110" t="n"/>
      <c r="AD13" s="110" t="n"/>
      <c r="AE13" s="110" t="n"/>
      <c r="AF13" s="141" t="n"/>
      <c r="AG13" s="110" t="n"/>
      <c r="AH13" s="110" t="n"/>
      <c r="AI13" s="110" t="n"/>
      <c r="AJ13" s="110" t="n"/>
    </row>
    <row r="14" ht="18" customHeight="1" s="104">
      <c r="A14" s="13" t="inlineStr">
        <is>
          <t>O</t>
        </is>
      </c>
      <c r="B14" s="112" t="inlineStr">
        <is>
          <t>CO (mol/s)</t>
        </is>
      </c>
      <c r="C14" s="110" t="n">
        <v>0.00049170764</v>
      </c>
      <c r="D14" s="110" t="n">
        <v>0.00040511965</v>
      </c>
      <c r="E14" s="110" t="n">
        <v>0.00030581726</v>
      </c>
      <c r="F14" s="110" t="n">
        <v>0.00018921988</v>
      </c>
      <c r="G14" s="110" t="n"/>
      <c r="H14" s="110" t="n">
        <v>0.00076401954</v>
      </c>
      <c r="I14" s="110" t="n">
        <v>0.00060293311</v>
      </c>
      <c r="J14" s="110" t="n">
        <v>0.00042126065</v>
      </c>
      <c r="K14" s="110" t="n">
        <v>0.00021712381</v>
      </c>
      <c r="L14" s="139" t="n"/>
      <c r="M14" s="110" t="n">
        <v>0.0011521173</v>
      </c>
      <c r="N14" s="110" t="n">
        <v>0.00089331414</v>
      </c>
      <c r="O14" s="110" t="n">
        <v>0.00060245426</v>
      </c>
      <c r="P14" s="110" t="n">
        <v>0.00029333968</v>
      </c>
      <c r="Q14" s="110" t="n"/>
      <c r="R14" s="110" t="n">
        <v>0.0016517312</v>
      </c>
      <c r="S14" s="110" t="n">
        <v>0.0012743459</v>
      </c>
      <c r="T14" s="110" t="n">
        <v>0.00060245426</v>
      </c>
      <c r="U14" s="110" t="n">
        <v>0.00043115101</v>
      </c>
      <c r="V14" s="141" t="n"/>
      <c r="W14" s="110" t="n">
        <v>0.0022610552</v>
      </c>
      <c r="X14" s="110" t="n">
        <v>0.0017586472</v>
      </c>
      <c r="Y14" s="110" t="n">
        <v>0.0012041466</v>
      </c>
      <c r="Z14" s="110" t="n">
        <v>0.00065174148</v>
      </c>
      <c r="AA14" s="141" t="n"/>
      <c r="AB14" s="110" t="n">
        <v>0.002954518</v>
      </c>
      <c r="AC14" s="110" t="n"/>
      <c r="AD14" s="110" t="n"/>
      <c r="AE14" s="110" t="n"/>
      <c r="AF14" s="141" t="n"/>
      <c r="AG14" s="110" t="n"/>
      <c r="AH14" s="110" t="n"/>
      <c r="AI14" s="110" t="n"/>
      <c r="AJ14" s="110" t="n"/>
    </row>
    <row r="15" ht="18" customHeight="1" s="104">
      <c r="A15" s="13" t="inlineStr">
        <is>
          <t>D</t>
        </is>
      </c>
      <c r="B15" s="112" t="inlineStr">
        <is>
          <t>H2O ( mol/s)</t>
        </is>
      </c>
      <c r="C15" s="110" t="n">
        <v>0.0019435706</v>
      </c>
      <c r="D15" s="110" t="n">
        <v>0.0020449071</v>
      </c>
      <c r="E15" s="110" t="n">
        <v>0.0020913577</v>
      </c>
      <c r="F15" s="110" t="n">
        <v>0.0020516853</v>
      </c>
      <c r="G15" s="110" t="n"/>
      <c r="H15" s="110" t="n">
        <v>0.0026248478</v>
      </c>
      <c r="I15" s="110" t="n">
        <v>0.0028173772</v>
      </c>
      <c r="J15" s="110" t="n">
        <v>0.0029112019</v>
      </c>
      <c r="K15" s="110" t="n">
        <v>0.0027895033</v>
      </c>
      <c r="L15" s="139" t="n"/>
      <c r="M15" s="110" t="n">
        <v>0.0030966787</v>
      </c>
      <c r="N15" s="110" t="n">
        <v>0.0032923185</v>
      </c>
      <c r="O15" s="110" t="n">
        <v>0.0033301597</v>
      </c>
      <c r="P15" s="110" t="n">
        <v>0.003023339</v>
      </c>
      <c r="Q15" s="110" t="n"/>
      <c r="R15" s="110" t="n">
        <v>0.0033628112</v>
      </c>
      <c r="S15" s="110" t="n">
        <v>0.0035220385</v>
      </c>
      <c r="T15" s="110" t="n">
        <v>0.0033301597</v>
      </c>
      <c r="U15" s="110" t="n">
        <v>0.0030086456</v>
      </c>
      <c r="V15" s="141" t="n"/>
      <c r="W15" s="110" t="n">
        <v>0.0034098574</v>
      </c>
      <c r="X15" s="110" t="n">
        <v>0.0035074883</v>
      </c>
      <c r="Y15" s="110" t="n">
        <v>0.0033666262</v>
      </c>
      <c r="Z15" s="110" t="n">
        <v>0.0028366172</v>
      </c>
      <c r="AA15" s="141" t="n"/>
      <c r="AB15" s="110" t="n">
        <v>0.0032905398</v>
      </c>
      <c r="AC15" s="110" t="n"/>
      <c r="AD15" s="110" t="n"/>
      <c r="AE15" s="110" t="n"/>
      <c r="AF15" s="141" t="n"/>
      <c r="AG15" s="110" t="n"/>
      <c r="AH15" s="110" t="n"/>
      <c r="AI15" s="110" t="n"/>
      <c r="AJ15" s="110" t="n"/>
    </row>
    <row r="16" ht="18" customHeight="1" s="104">
      <c r="A16" s="19" t="n"/>
      <c r="B16" s="112" t="inlineStr">
        <is>
          <t>C ( mol/s)</t>
        </is>
      </c>
      <c r="C16" s="110" t="n">
        <v>0.0021597046</v>
      </c>
      <c r="D16" s="110" t="n">
        <v>0.0023881071</v>
      </c>
      <c r="E16" s="110" t="n">
        <v>0.0025875078</v>
      </c>
      <c r="F16" s="110" t="n">
        <v>0.0027643122</v>
      </c>
      <c r="G16" s="110" t="n"/>
      <c r="H16" s="110" t="n">
        <v>0.0030591464</v>
      </c>
      <c r="I16" s="110" t="n">
        <v>0.0035132559</v>
      </c>
      <c r="J16" s="110" t="n">
        <v>0.0039360496</v>
      </c>
      <c r="K16" s="110" t="n">
        <v>0.0043193265</v>
      </c>
      <c r="L16" s="139" t="n"/>
      <c r="M16" s="110" t="n">
        <v>0.003792676</v>
      </c>
      <c r="N16" s="110" t="n">
        <v>0.0044252465</v>
      </c>
      <c r="O16" s="110" t="n">
        <v>0.0050156492</v>
      </c>
      <c r="P16" s="110" t="n">
        <v>0.0055332887</v>
      </c>
      <c r="Q16" s="110" t="n"/>
      <c r="R16" s="110" t="n">
        <v>0.004328346</v>
      </c>
      <c r="S16" s="110" t="n">
        <v>0.0051353568</v>
      </c>
      <c r="T16" s="110" t="n">
        <v>0.0050156492</v>
      </c>
      <c r="U16" s="110" t="n">
        <v>0.0065096709</v>
      </c>
      <c r="V16" s="141" t="n"/>
      <c r="W16" s="110" t="n">
        <v>0.0045797011</v>
      </c>
      <c r="X16" s="110" t="n">
        <v>0.005539785</v>
      </c>
      <c r="Y16" s="110" t="n">
        <v>0.0064224472</v>
      </c>
      <c r="Z16" s="110" t="n">
        <v>0.0071695455</v>
      </c>
      <c r="AA16" s="141" t="n"/>
      <c r="AB16" s="110" t="n">
        <v>0.0045556017</v>
      </c>
      <c r="AC16" s="110" t="n"/>
      <c r="AD16" s="110" t="n"/>
      <c r="AE16" s="110" t="n"/>
      <c r="AF16" s="141" t="n"/>
      <c r="AG16" s="110" t="n"/>
      <c r="AH16" s="110" t="n"/>
      <c r="AI16" s="110" t="n"/>
      <c r="AJ16" s="110" t="n"/>
    </row>
    <row r="17" ht="12.75" customHeight="1" s="104">
      <c r="A17" s="13" t="n"/>
      <c r="B17" s="112" t="inlineStr">
        <is>
          <t>H2 (mol/s)</t>
        </is>
      </c>
      <c r="C17" s="110" t="n">
        <v>0.00092397547</v>
      </c>
      <c r="D17" s="110" t="n">
        <v>0.0010915196</v>
      </c>
      <c r="E17" s="110" t="n">
        <v>0.0012981175</v>
      </c>
      <c r="F17" s="110" t="n">
        <v>0.0016144737</v>
      </c>
      <c r="G17" s="110" t="n"/>
      <c r="H17" s="110" t="n">
        <v>0.0016326168</v>
      </c>
      <c r="I17" s="110" t="n">
        <v>0.0019946904</v>
      </c>
      <c r="J17" s="110" t="n">
        <v>0.0024709559</v>
      </c>
      <c r="K17" s="110" t="n">
        <v>0.0032767703</v>
      </c>
      <c r="L17" s="139" t="n"/>
      <c r="M17" s="110" t="n">
        <v>0.0025441119</v>
      </c>
      <c r="N17" s="110" t="n">
        <v>0.00315917</v>
      </c>
      <c r="O17" s="110" t="n">
        <v>0.0039734332</v>
      </c>
      <c r="P17" s="110" t="n">
        <v>0.0053132392</v>
      </c>
      <c r="Q17" s="110" t="n"/>
      <c r="R17" s="110" t="n">
        <v>0.0035828008</v>
      </c>
      <c r="S17" s="110" t="n">
        <v>0.0045009825</v>
      </c>
      <c r="T17" s="110" t="n">
        <v>0.0039734332</v>
      </c>
      <c r="U17" s="110" t="n">
        <v>0.0074332016</v>
      </c>
      <c r="V17" s="141" t="n"/>
      <c r="W17" s="110" t="n">
        <v>0.0046007427</v>
      </c>
      <c r="X17" s="110" t="n">
        <v>0.0058232406</v>
      </c>
      <c r="Y17" s="110" t="n">
        <v>0.0073157887</v>
      </c>
      <c r="Z17" s="110" t="n">
        <v>0.009317598200000001</v>
      </c>
      <c r="AA17" s="141" t="n"/>
      <c r="AB17" s="110" t="n">
        <v>0.0054846417</v>
      </c>
      <c r="AC17" s="110" t="n"/>
      <c r="AD17" s="110" t="n"/>
      <c r="AE17" s="110" t="n"/>
      <c r="AF17" s="141" t="n"/>
      <c r="AG17" s="110" t="n"/>
      <c r="AH17" s="110" t="n"/>
      <c r="AI17" s="110" t="n"/>
      <c r="AJ17" s="110" t="n"/>
    </row>
    <row r="18" ht="12.75" customHeight="1" s="104">
      <c r="A18" s="29" t="inlineStr">
        <is>
          <t>OUT</t>
        </is>
      </c>
      <c r="B18" s="30" t="inlineStr">
        <is>
          <t>OUT Molar Flow (mol/s) =</t>
        </is>
      </c>
      <c r="C18" s="142">
        <f>SUM(C12:C17)</f>
        <v/>
      </c>
      <c r="D18" s="142">
        <f>SUM(D12:D17)</f>
        <v/>
      </c>
      <c r="E18" s="142">
        <f>SUM(E12:E17)</f>
        <v/>
      </c>
      <c r="F18" s="142">
        <f>SUM(F12:F17)</f>
        <v/>
      </c>
      <c r="G18" s="142" t="n"/>
      <c r="H18" s="142">
        <f>SUM(H12:H17)</f>
        <v/>
      </c>
      <c r="I18" s="142">
        <f>SUM(I12:I17)</f>
        <v/>
      </c>
      <c r="J18" s="142">
        <f>SUM(J12:J17)</f>
        <v/>
      </c>
      <c r="K18" s="142">
        <f>SUM(K12:K17)</f>
        <v/>
      </c>
      <c r="L18" s="139" t="n"/>
      <c r="M18" s="142">
        <f>SUM(M12:M17)</f>
        <v/>
      </c>
      <c r="N18" s="142">
        <f>SUM(N12:N17)</f>
        <v/>
      </c>
      <c r="O18" s="142">
        <f>SUM(O12:O17)</f>
        <v/>
      </c>
      <c r="P18" s="142">
        <f>SUM(P12:P17)</f>
        <v/>
      </c>
      <c r="Q18" s="142" t="n"/>
      <c r="R18" s="142">
        <f>SUM(R12:R17)</f>
        <v/>
      </c>
      <c r="S18" s="142">
        <f>SUM(S12:S17)</f>
        <v/>
      </c>
      <c r="T18" s="142">
        <f>SUM(T12:T17)</f>
        <v/>
      </c>
      <c r="U18" s="142">
        <f>SUM(U12:U17)</f>
        <v/>
      </c>
      <c r="V18" s="141" t="n"/>
      <c r="W18" s="142">
        <f>SUM(W12:W17)</f>
        <v/>
      </c>
      <c r="X18" s="142">
        <f>SUM(X12:X17)</f>
        <v/>
      </c>
      <c r="Y18" s="142">
        <f>SUM(Y12:Y17)</f>
        <v/>
      </c>
      <c r="Z18" s="142">
        <f>SUM(Z12:Z17)</f>
        <v/>
      </c>
      <c r="AA18" s="141" t="n"/>
      <c r="AB18" s="142">
        <f>SUM(AB12:AB17)</f>
        <v/>
      </c>
      <c r="AC18" s="142" t="n"/>
      <c r="AD18" s="142" t="n"/>
      <c r="AE18" s="142" t="n"/>
      <c r="AF18" s="141" t="n"/>
      <c r="AG18" s="142" t="n"/>
      <c r="AH18" s="142" t="n"/>
      <c r="AI18" s="142" t="n"/>
      <c r="AJ18" s="142" t="n"/>
    </row>
    <row r="19" ht="12.75" customHeight="1" s="104">
      <c r="B19" s="15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39" t="n"/>
      <c r="M19" s="142" t="n"/>
      <c r="N19" s="142" t="n"/>
      <c r="O19" s="142" t="n"/>
      <c r="P19" s="142" t="n"/>
      <c r="Q19" s="142" t="n"/>
      <c r="R19" s="142" t="n"/>
      <c r="S19" s="142" t="n"/>
      <c r="T19" s="142" t="n"/>
      <c r="U19" s="142" t="n"/>
      <c r="V19" s="141" t="n"/>
      <c r="W19" s="142" t="n"/>
      <c r="X19" s="142" t="n"/>
      <c r="Y19" s="142" t="n"/>
      <c r="Z19" s="142" t="n"/>
      <c r="AA19" s="141" t="n"/>
      <c r="AB19" s="139" t="n"/>
      <c r="AC19" s="142" t="n"/>
      <c r="AD19" s="142" t="n"/>
      <c r="AE19" s="142" t="n"/>
      <c r="AF19" s="141" t="n"/>
      <c r="AG19" s="142" t="n"/>
      <c r="AH19" s="142" t="n"/>
      <c r="AI19" s="142" t="n"/>
      <c r="AJ19" s="142" t="n"/>
    </row>
    <row r="20" ht="12.75" customHeight="1" s="104">
      <c r="A20" s="11" t="inlineStr">
        <is>
          <t>P</t>
        </is>
      </c>
      <c r="B20" t="inlineStr">
        <is>
          <t>Reaction Coordinate  DRM (mol/s)</t>
        </is>
      </c>
      <c r="C20" s="108" t="n">
        <v>4.64366e-07</v>
      </c>
      <c r="D20" s="38" t="n">
        <v>4.96896e-07</v>
      </c>
      <c r="E20" s="108" t="n">
        <v>5.21556e-07</v>
      </c>
      <c r="F20" s="108" t="n">
        <v>5.31285e-07</v>
      </c>
      <c r="G20" s="108" t="n"/>
      <c r="H20" s="108" t="n">
        <v>6.86027e-07</v>
      </c>
      <c r="I20" s="38" t="n">
        <v>7.49375e-07</v>
      </c>
      <c r="J20" s="108" t="n">
        <v>7.96408e-07</v>
      </c>
      <c r="K20" s="108" t="n">
        <v>7.7633e-07</v>
      </c>
      <c r="L20" s="139" t="n"/>
      <c r="M20" s="108" t="n">
        <v>6.55803e-07</v>
      </c>
      <c r="N20" s="108" t="n">
        <v>5.132090000000001e-07</v>
      </c>
      <c r="O20" s="108" t="n">
        <v>3.53074e-08</v>
      </c>
      <c r="P20" s="108" t="n">
        <v>5.3415e-07</v>
      </c>
      <c r="Q20" s="108" t="n"/>
      <c r="R20" s="108" t="n">
        <v>1.8061e-06</v>
      </c>
      <c r="S20" s="108" t="n">
        <v>1.75888e-06</v>
      </c>
      <c r="T20" s="108" t="n">
        <v>3.53074e-08</v>
      </c>
      <c r="U20" s="108" t="n">
        <v>1.16369e-06</v>
      </c>
      <c r="V20" s="141" t="n"/>
      <c r="W20" s="108" t="n">
        <v>3.15269e-06</v>
      </c>
      <c r="X20" s="108" t="n">
        <v>3.3122e-06</v>
      </c>
      <c r="Y20" s="108" t="n">
        <v>3.19055e-06</v>
      </c>
      <c r="Z20" s="108" t="n">
        <v>2.54846e-06</v>
      </c>
      <c r="AA20" s="141" t="n"/>
      <c r="AB20" s="108" t="n">
        <v>4.30371e-06</v>
      </c>
      <c r="AC20" s="139" t="n"/>
      <c r="AD20" s="139" t="n"/>
      <c r="AE20" s="139" t="n"/>
      <c r="AF20" s="141" t="n"/>
      <c r="AG20" s="108" t="n"/>
      <c r="AH20" s="108" t="n"/>
      <c r="AI20" s="108" t="n"/>
      <c r="AJ20" s="108" t="n"/>
    </row>
    <row r="21" ht="12.75" customHeight="1" s="104">
      <c r="A21" s="13" t="n"/>
      <c r="B21" s="110" t="inlineStr">
        <is>
          <t xml:space="preserve">CH₄ + CO₂ ⇌ 2CO + 2H₂ </t>
        </is>
      </c>
      <c r="C21" s="141" t="n"/>
      <c r="D21" s="143" t="n"/>
      <c r="E21" s="141" t="n"/>
      <c r="F21" s="141" t="n"/>
      <c r="G21" s="141" t="n"/>
      <c r="H21" s="141" t="n"/>
      <c r="I21" s="143" t="n"/>
      <c r="J21" s="141" t="n"/>
      <c r="K21" s="141" t="n"/>
      <c r="L21" s="139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  <c r="AA21" s="141" t="n"/>
      <c r="AB21" s="141" t="n"/>
      <c r="AC21" s="141" t="n"/>
      <c r="AD21" s="141" t="n"/>
      <c r="AE21" s="141" t="n"/>
      <c r="AF21" s="141" t="n"/>
      <c r="AG21" s="141" t="n"/>
      <c r="AH21" s="141" t="n"/>
      <c r="AI21" s="141" t="n"/>
      <c r="AJ21" s="141" t="n"/>
    </row>
    <row r="22" ht="12.75" customHeight="1" s="104">
      <c r="A22" s="13" t="inlineStr">
        <is>
          <t>R</t>
        </is>
      </c>
      <c r="C22" s="141" t="n"/>
      <c r="D22" s="143" t="n"/>
      <c r="E22" s="141" t="n"/>
      <c r="F22" s="141" t="n"/>
      <c r="G22" s="141" t="n"/>
      <c r="H22" s="141" t="n"/>
      <c r="I22" s="143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  <c r="AA22" s="141" t="n"/>
      <c r="AB22" s="141" t="n"/>
      <c r="AC22" s="141" t="n"/>
      <c r="AD22" s="141" t="n"/>
      <c r="AE22" s="141" t="n"/>
      <c r="AF22" s="141" t="n"/>
      <c r="AG22" s="141" t="n"/>
      <c r="AH22" s="141" t="n"/>
      <c r="AI22" s="141" t="n"/>
      <c r="AJ22" s="141" t="n"/>
    </row>
    <row r="23" ht="12.75" customHeight="1" s="104">
      <c r="A23" s="13" t="n"/>
      <c r="B23" t="inlineStr">
        <is>
          <t>Reaction Coordinate RWGS (mol/s)</t>
        </is>
      </c>
      <c r="C23" s="108" t="n">
        <v>1.21764e-06</v>
      </c>
      <c r="D23" s="38" t="n">
        <v>1.22501e-06</v>
      </c>
      <c r="E23" s="108" t="n">
        <v>1.19859e-06</v>
      </c>
      <c r="F23" s="108" t="n">
        <v>1.12045e-06</v>
      </c>
      <c r="G23" s="108" t="n"/>
      <c r="H23" s="108" t="n">
        <v>1.69443e-06</v>
      </c>
      <c r="I23" s="38" t="n">
        <v>1.71016e-06</v>
      </c>
      <c r="J23" s="108" t="n">
        <v>1.66623e-06</v>
      </c>
      <c r="K23" s="108" t="n">
        <v>1.50331e-06</v>
      </c>
      <c r="L23" s="141" t="n"/>
      <c r="M23" s="108" t="n">
        <v>2.1244e-06</v>
      </c>
      <c r="N23" s="108" t="n">
        <v>2.09282e-06</v>
      </c>
      <c r="O23" s="108" t="n">
        <v>1.96631e-06</v>
      </c>
      <c r="P23" s="108" t="n">
        <v>1.65834e-06</v>
      </c>
      <c r="Q23" s="108" t="n"/>
      <c r="R23" s="108" t="n">
        <v>2.50727e-06</v>
      </c>
      <c r="S23" s="108" t="n">
        <v>2.39819e-06</v>
      </c>
      <c r="T23" s="108" t="n">
        <v>1.96631e-06</v>
      </c>
      <c r="U23" s="108" t="n">
        <v>1.7199e-06</v>
      </c>
      <c r="V23" s="141" t="n"/>
      <c r="W23" s="108" t="n">
        <v>2.83546e-06</v>
      </c>
      <c r="X23" s="108" t="n">
        <v>2.63307e-06</v>
      </c>
      <c r="Y23" s="108" t="n">
        <v>2.28539e-06</v>
      </c>
      <c r="Z23" s="108" t="n">
        <v>1.74418e-06</v>
      </c>
      <c r="AA23" s="141" t="n"/>
      <c r="AB23" s="108" t="n">
        <v>3.12253e-06</v>
      </c>
      <c r="AC23" s="139" t="n"/>
      <c r="AD23" s="139" t="n"/>
      <c r="AE23" s="139" t="n"/>
      <c r="AF23" s="141" t="n"/>
      <c r="AG23" s="108" t="n"/>
      <c r="AH23" s="108" t="n"/>
      <c r="AI23" s="108" t="n"/>
      <c r="AJ23" s="108" t="n"/>
    </row>
    <row r="24" ht="12.75" customHeight="1" s="104">
      <c r="A24" s="13" t="inlineStr">
        <is>
          <t>F</t>
        </is>
      </c>
      <c r="B24" s="110" t="inlineStr">
        <is>
          <t xml:space="preserve">CO₂ + H₂ ⇌ CO + H₂O </t>
        </is>
      </c>
      <c r="C24" s="141" t="n"/>
      <c r="D24" s="143" t="n"/>
      <c r="E24" s="141" t="n"/>
      <c r="F24" s="141" t="n"/>
      <c r="G24" s="141" t="n"/>
      <c r="H24" s="141" t="n"/>
      <c r="I24" s="143" t="n"/>
      <c r="J24" s="141" t="n"/>
      <c r="K24" s="141" t="n"/>
      <c r="L24" s="141" t="n"/>
      <c r="M24" s="108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  <c r="AA24" s="141" t="n"/>
      <c r="AB24" s="141" t="n"/>
      <c r="AC24" s="141" t="n"/>
      <c r="AD24" s="141" t="n"/>
      <c r="AE24" s="141" t="n"/>
      <c r="AF24" s="141" t="n"/>
      <c r="AG24" s="141" t="n"/>
      <c r="AH24" s="141" t="n"/>
      <c r="AI24" s="141" t="n"/>
      <c r="AJ24" s="141" t="n"/>
    </row>
    <row r="25" ht="12.75" customHeight="1" s="104">
      <c r="A25" s="13" t="n"/>
      <c r="C25" s="141" t="n"/>
      <c r="D25" s="143" t="n"/>
      <c r="E25" s="141" t="n"/>
      <c r="F25" s="141" t="n"/>
      <c r="G25" s="141" t="n"/>
      <c r="H25" s="141" t="n"/>
      <c r="I25" s="143" t="n"/>
      <c r="J25" s="141" t="n"/>
      <c r="K25" s="141" t="n"/>
      <c r="L25" s="141" t="n"/>
      <c r="M25" s="141" t="n"/>
      <c r="N25" s="141" t="n"/>
      <c r="O25" s="141" t="n"/>
      <c r="P25" s="141" t="n"/>
      <c r="Q25" s="141" t="n"/>
      <c r="R25" s="141" t="n"/>
      <c r="S25" s="141" t="n"/>
      <c r="T25" s="141" t="n"/>
      <c r="U25" s="141" t="n"/>
      <c r="V25" s="141" t="n"/>
      <c r="W25" s="141" t="n"/>
      <c r="X25" s="141" t="n"/>
      <c r="Y25" s="141" t="n"/>
      <c r="Z25" s="141" t="n"/>
      <c r="AA25" s="141" t="n"/>
      <c r="AB25" s="141" t="n"/>
      <c r="AC25" s="141" t="n"/>
      <c r="AD25" s="141" t="n"/>
      <c r="AE25" s="141" t="n"/>
      <c r="AF25" s="141" t="n"/>
      <c r="AG25" s="141" t="n"/>
      <c r="AH25" s="141" t="n"/>
      <c r="AI25" s="141" t="n"/>
      <c r="AJ25" s="141" t="n"/>
    </row>
    <row r="26" ht="12.75" customHeight="1" s="104">
      <c r="A26" s="13" t="n"/>
      <c r="B26" t="inlineStr">
        <is>
          <t>Reaction Coordinate DM (mol/s)</t>
        </is>
      </c>
      <c r="C26" s="108" t="n">
        <v>9.69407e-07</v>
      </c>
      <c r="D26" s="38" t="n">
        <v>1.07132e-06</v>
      </c>
      <c r="E26" s="108" t="n">
        <v>1.17318e-06</v>
      </c>
      <c r="F26" s="108" t="n">
        <v>1.30179e-06</v>
      </c>
      <c r="G26" s="108" t="n"/>
      <c r="H26" s="108" t="n">
        <v>1.44271e-06</v>
      </c>
      <c r="I26" s="38" t="n">
        <v>1.65666e-06</v>
      </c>
      <c r="J26" s="108" t="n">
        <v>1.89467e-06</v>
      </c>
      <c r="K26" s="108" t="n">
        <v>2.25681e-06</v>
      </c>
      <c r="L26" s="141" t="n"/>
      <c r="M26" s="108" t="n">
        <v>2.16459e-06</v>
      </c>
      <c r="N26" s="108" t="n">
        <v>2.71253e-06</v>
      </c>
      <c r="O26" s="108" t="n">
        <v>3.61649e-06</v>
      </c>
      <c r="P26" s="108" t="n">
        <v>3.63414e-06</v>
      </c>
      <c r="Q26" s="108" t="n"/>
      <c r="R26" s="108" t="n">
        <v>1.6667e-06</v>
      </c>
      <c r="S26" s="108" t="n">
        <v>2.25263e-06</v>
      </c>
      <c r="T26" s="108" t="n">
        <v>3.61649e-06</v>
      </c>
      <c r="U26" s="108" t="n">
        <v>4.05724e-06</v>
      </c>
      <c r="V26" s="141" t="n"/>
      <c r="W26" s="108" t="n">
        <v>8.5261e-07</v>
      </c>
      <c r="X26" s="108" t="n">
        <v>1.35316e-06</v>
      </c>
      <c r="Y26" s="108" t="n">
        <v>2.15065e-06</v>
      </c>
      <c r="Z26" s="108" t="n">
        <v>3.52864e-06</v>
      </c>
      <c r="AA26" s="141" t="n"/>
      <c r="AB26" s="108" t="n">
        <v>8.38828e-08</v>
      </c>
      <c r="AC26" s="139" t="n"/>
      <c r="AD26" s="139" t="n"/>
      <c r="AE26" s="139" t="n"/>
      <c r="AF26" s="141" t="n"/>
      <c r="AG26" s="108" t="n"/>
      <c r="AH26" s="108" t="n"/>
      <c r="AI26" s="108" t="n"/>
      <c r="AJ26" s="108" t="n"/>
    </row>
    <row r="27" ht="12.75" customHeight="1" s="104">
      <c r="A27" s="13" t="inlineStr">
        <is>
          <t>-</t>
        </is>
      </c>
      <c r="B27" s="110" t="inlineStr">
        <is>
          <t xml:space="preserve">CH₄ ⇌ C(s) + 2H₂ </t>
        </is>
      </c>
    </row>
    <row r="28" ht="12.75" customHeight="1" s="104">
      <c r="A28" s="19" t="n"/>
    </row>
    <row r="29" ht="12.75" customHeight="1" s="104">
      <c r="A29" s="13" t="n">
        <v>1</v>
      </c>
      <c r="B29" s="112" t="inlineStr">
        <is>
          <t>Convertion CH4 (%)</t>
        </is>
      </c>
      <c r="C29" s="110" t="n">
        <v>28.6755</v>
      </c>
      <c r="D29" s="110" t="n">
        <v>26.1369</v>
      </c>
      <c r="E29" s="110" t="n">
        <v>24.2105</v>
      </c>
      <c r="F29" s="110" t="n">
        <v>22.9135</v>
      </c>
      <c r="G29" s="110" t="n"/>
      <c r="H29" s="110" t="n">
        <v>42.5746</v>
      </c>
      <c r="I29" s="110" t="n">
        <v>40.1006</v>
      </c>
      <c r="J29" s="110" t="n">
        <v>38.444</v>
      </c>
      <c r="K29" s="110" t="n">
        <v>37.9142</v>
      </c>
      <c r="M29" s="110" t="n">
        <v>56.4079</v>
      </c>
      <c r="N29" s="110" t="n">
        <v>53.7624</v>
      </c>
      <c r="O29" s="110" t="n">
        <v>52.1685</v>
      </c>
      <c r="P29" s="110" t="n">
        <v>52.1036</v>
      </c>
      <c r="Q29" s="110" t="n"/>
      <c r="R29" s="110" t="n">
        <v>69.45610000000001</v>
      </c>
      <c r="S29" s="110" t="n">
        <v>66.85850000000001</v>
      </c>
      <c r="T29" s="110" t="n">
        <v>52.1685</v>
      </c>
      <c r="U29" s="110" t="n">
        <v>65.2615</v>
      </c>
      <c r="W29" s="110" t="n">
        <v>80.10599999999999</v>
      </c>
      <c r="X29" s="110" t="n">
        <v>77.7561</v>
      </c>
      <c r="Y29" s="110" t="n">
        <v>76.303</v>
      </c>
      <c r="Z29" s="110" t="n">
        <v>75.96380000000001</v>
      </c>
      <c r="AB29" s="110" t="n">
        <v>87.7518</v>
      </c>
      <c r="AC29" s="110" t="n"/>
      <c r="AD29" s="110" t="n"/>
      <c r="AE29" s="110" t="n"/>
      <c r="AG29" s="110" t="n"/>
      <c r="AH29" s="110" t="n"/>
      <c r="AI29" s="110" t="n"/>
      <c r="AJ29" s="110" t="n"/>
    </row>
    <row r="30" ht="12.75" customHeight="1" s="104">
      <c r="A30" s="20" t="n"/>
      <c r="B30" s="112" t="inlineStr">
        <is>
          <t>Convertion CO2 (%)</t>
        </is>
      </c>
      <c r="C30" s="110" t="n">
        <v>24.3528</v>
      </c>
      <c r="D30" s="110" t="n">
        <v>30.6253</v>
      </c>
      <c r="E30" s="110" t="n">
        <v>39.9529</v>
      </c>
      <c r="F30" s="110" t="n">
        <v>56.0226</v>
      </c>
      <c r="G30" s="110" t="n"/>
      <c r="H30" s="110" t="n">
        <v>33.8887</v>
      </c>
      <c r="I30" s="110" t="n">
        <v>42.7539</v>
      </c>
      <c r="J30" s="110" t="n">
        <v>55.541</v>
      </c>
      <c r="K30" s="110" t="n">
        <v>75.1657</v>
      </c>
      <c r="M30" s="110" t="n">
        <v>42.488</v>
      </c>
      <c r="N30" s="110" t="n">
        <v>52.3204</v>
      </c>
      <c r="O30" s="110" t="n">
        <v>65.5436</v>
      </c>
      <c r="P30" s="110" t="n">
        <v>82.917</v>
      </c>
      <c r="Q30" s="110" t="n"/>
      <c r="R30" s="110" t="n">
        <v>50.1454</v>
      </c>
      <c r="S30" s="110" t="n">
        <v>59.9548</v>
      </c>
      <c r="T30" s="110" t="n">
        <v>65.5436</v>
      </c>
      <c r="U30" s="110" t="n">
        <v>85.9949</v>
      </c>
      <c r="W30" s="110" t="n">
        <v>56.7091</v>
      </c>
      <c r="X30" s="110" t="n">
        <v>65.8267</v>
      </c>
      <c r="Y30" s="110" t="n">
        <v>76.1795</v>
      </c>
      <c r="Z30" s="110" t="n">
        <v>87.209</v>
      </c>
      <c r="AB30" s="110" t="n">
        <v>62.4506</v>
      </c>
      <c r="AC30" s="110" t="n"/>
      <c r="AD30" s="110" t="n"/>
      <c r="AE30" s="110" t="n"/>
      <c r="AG30" s="110" t="n"/>
      <c r="AH30" s="110" t="n"/>
      <c r="AI30" s="110" t="n"/>
      <c r="AJ30" s="110" t="n"/>
    </row>
    <row r="31" ht="12.75" customHeight="1" s="104">
      <c r="B31" s="112" t="inlineStr">
        <is>
          <t>Seletividade a Carbono</t>
        </is>
      </c>
      <c r="C31" s="51">
        <f>C26/(C20+C26)</f>
        <v/>
      </c>
      <c r="D31" s="51">
        <f>D26/(D20+D26)</f>
        <v/>
      </c>
      <c r="E31" s="51">
        <f>E26/(E20+E26)</f>
        <v/>
      </c>
      <c r="F31" s="51">
        <f>F26/(F20+F26)</f>
        <v/>
      </c>
      <c r="G31" s="51" t="n"/>
      <c r="H31" s="51">
        <f>H26/(H20+H26)</f>
        <v/>
      </c>
      <c r="I31" s="51">
        <f>I26/(I20+I26)</f>
        <v/>
      </c>
      <c r="J31" s="51">
        <f>J26/(J20+J26)</f>
        <v/>
      </c>
      <c r="K31" s="51">
        <f>K26/(K20+K26)</f>
        <v/>
      </c>
      <c r="L31" s="51" t="n"/>
      <c r="M31" s="51">
        <f>M26/(M20+M26)</f>
        <v/>
      </c>
      <c r="N31" s="51">
        <f>N26/(N20+N26)</f>
        <v/>
      </c>
      <c r="O31" s="51">
        <f>O26/(O20+O26)</f>
        <v/>
      </c>
      <c r="P31" s="51">
        <f>P26/(P20+P26)</f>
        <v/>
      </c>
      <c r="Q31" s="51" t="n"/>
      <c r="R31" s="51">
        <f>R26/(R20+R26)</f>
        <v/>
      </c>
      <c r="S31" s="51">
        <f>S26/(S20+S26)</f>
        <v/>
      </c>
      <c r="T31" s="51">
        <f>T26/(T20+T26)</f>
        <v/>
      </c>
      <c r="U31" s="51">
        <f>U26/(U20+U26)</f>
        <v/>
      </c>
      <c r="V31" s="51" t="n"/>
      <c r="W31" s="51">
        <f>W26/(W20+W26)</f>
        <v/>
      </c>
      <c r="X31" s="51">
        <f>X26/(X20+X26)</f>
        <v/>
      </c>
      <c r="Y31" s="51">
        <f>Y26/(Y20+Y26)</f>
        <v/>
      </c>
      <c r="Z31" s="51">
        <f>Z26/(Z20+Z26)</f>
        <v/>
      </c>
      <c r="AA31" s="51" t="n"/>
      <c r="AB31" s="51">
        <f>AB26/(AB20+AB26)</f>
        <v/>
      </c>
      <c r="AC31" s="51" t="n"/>
      <c r="AD31" s="51" t="n"/>
      <c r="AE31" s="51" t="n"/>
      <c r="AF31" s="51" t="n"/>
      <c r="AG31" s="51" t="n"/>
      <c r="AH31" s="51" t="n"/>
      <c r="AI31" s="51" t="n"/>
      <c r="AJ31" s="51" t="n"/>
    </row>
    <row r="32" ht="12.75" customHeight="1" s="104">
      <c r="B32" s="112" t="inlineStr">
        <is>
          <t>H2 / CO</t>
        </is>
      </c>
      <c r="C32" s="51">
        <f>C17/C14</f>
        <v/>
      </c>
      <c r="D32" s="51">
        <f>D17/D14</f>
        <v/>
      </c>
      <c r="E32" s="51">
        <f>E17/E14</f>
        <v/>
      </c>
      <c r="F32" s="51">
        <f>F17/F14</f>
        <v/>
      </c>
      <c r="G32" s="51" t="n"/>
      <c r="H32" s="51">
        <f>H17/H14</f>
        <v/>
      </c>
      <c r="I32" s="51">
        <f>I17/I14</f>
        <v/>
      </c>
      <c r="J32" s="51">
        <f>J17/J14</f>
        <v/>
      </c>
      <c r="K32" s="51">
        <f>K17/K14</f>
        <v/>
      </c>
      <c r="L32" s="51" t="n"/>
      <c r="M32" s="51">
        <f>M17/M14</f>
        <v/>
      </c>
      <c r="N32" s="51">
        <f>N17/N14</f>
        <v/>
      </c>
      <c r="O32" s="51">
        <f>O17/O14</f>
        <v/>
      </c>
      <c r="P32" s="51">
        <f>P17/P14</f>
        <v/>
      </c>
      <c r="Q32" s="51" t="n"/>
      <c r="R32" s="51">
        <f>R17/R14</f>
        <v/>
      </c>
      <c r="S32" s="51">
        <f>S17/S14</f>
        <v/>
      </c>
      <c r="T32" s="51">
        <f>T17/T14</f>
        <v/>
      </c>
      <c r="U32" s="51">
        <f>U17/U14</f>
        <v/>
      </c>
      <c r="V32" s="51" t="n"/>
      <c r="W32" s="51">
        <f>W17/W14</f>
        <v/>
      </c>
      <c r="X32" s="51">
        <f>X17/X14</f>
        <v/>
      </c>
      <c r="Y32" s="51">
        <f>Y17/Y14</f>
        <v/>
      </c>
      <c r="Z32" s="51">
        <f>Z17/Z14</f>
        <v/>
      </c>
      <c r="AA32" s="51" t="n"/>
      <c r="AB32" s="51">
        <f>AB17/AB14</f>
        <v/>
      </c>
      <c r="AC32" s="51" t="n"/>
      <c r="AD32" s="51" t="n"/>
      <c r="AE32" s="51" t="n"/>
      <c r="AF32" s="51" t="n"/>
      <c r="AG32" s="51" t="n"/>
      <c r="AH32" s="51" t="n"/>
      <c r="AI32" s="51" t="n"/>
      <c r="AJ32" s="51" t="n"/>
    </row>
    <row r="33" ht="12.75" customHeight="1" s="104">
      <c r="B33" t="inlineStr">
        <is>
          <t>H2 / CO</t>
        </is>
      </c>
      <c r="C33" t="n">
        <v>1.879115545164195</v>
      </c>
      <c r="D33" t="n">
        <v>2.694314136576688</v>
      </c>
      <c r="E33" t="n">
        <v>4.244748971984119</v>
      </c>
      <c r="F33" t="n">
        <v>8.53226257198768</v>
      </c>
      <c r="H33" t="n">
        <v>2.136878331671988</v>
      </c>
      <c r="I33" t="n">
        <v>3.308311265241346</v>
      </c>
      <c r="J33" t="n">
        <v>5.865622388419141</v>
      </c>
      <c r="K33" t="n">
        <v>15.09171334088141</v>
      </c>
      <c r="M33" t="n">
        <v>2.208205622812886</v>
      </c>
      <c r="N33" t="n">
        <v>3.536460309471873</v>
      </c>
      <c r="O33" t="n">
        <v>6.595410579385728</v>
      </c>
      <c r="P33" t="n">
        <v>18.11292355674486</v>
      </c>
      <c r="R33" t="n">
        <v>2.169118558758229</v>
      </c>
      <c r="S33" t="n">
        <v>3.531994335289971</v>
      </c>
      <c r="T33" t="n">
        <v>6.595410579385728</v>
      </c>
      <c r="U33" t="n">
        <v>17.24036689604415</v>
      </c>
      <c r="W33" t="n">
        <v>2.034776815709762</v>
      </c>
      <c r="X33" t="n">
        <v>3.311204544038167</v>
      </c>
      <c r="Y33" t="n">
        <v>6.075496704471034</v>
      </c>
      <c r="Z33" t="n">
        <v>14.29646337685918</v>
      </c>
      <c r="AB33" t="n">
        <v>1.856357517537548</v>
      </c>
    </row>
    <row r="34" ht="12.75" customHeight="1" s="104"/>
    <row r="35" ht="12.75" customHeight="1" s="104"/>
    <row r="36" ht="12.75" customHeight="1" s="104"/>
    <row r="37">
      <c r="C37" s="110" t="n"/>
    </row>
    <row r="38">
      <c r="C38" s="110" t="n"/>
    </row>
    <row r="39">
      <c r="C39" s="110" t="n"/>
      <c r="X39" s="108" t="n"/>
    </row>
    <row r="40">
      <c r="C40" s="110" t="n"/>
      <c r="X40" s="108" t="n"/>
    </row>
    <row r="41">
      <c r="C41" s="110" t="n"/>
      <c r="X41" s="108" t="n"/>
    </row>
    <row r="42">
      <c r="C42" s="110" t="n"/>
    </row>
    <row r="44">
      <c r="C44" s="108" t="n"/>
    </row>
    <row r="45">
      <c r="C45" s="108" t="n"/>
    </row>
    <row r="46">
      <c r="C46" s="108" t="n"/>
    </row>
    <row r="49">
      <c r="C49" s="110" t="n">
        <v>28.6755</v>
      </c>
    </row>
    <row r="50">
      <c r="C50" s="110" t="n">
        <v>24.3528</v>
      </c>
    </row>
  </sheetData>
  <pageMargins left="0.39375" right="0.39375" top="0.7875" bottom="0.7875" header="0.511811023622047" footer="0.511811023622047"/>
  <pageSetup orientation="landscape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51"/>
  <sheetViews>
    <sheetView tabSelected="1" topLeftCell="A29" zoomScale="85" zoomScaleNormal="85" workbookViewId="0">
      <selection activeCell="A61" sqref="A61"/>
    </sheetView>
  </sheetViews>
  <sheetFormatPr baseColWidth="8" defaultRowHeight="12.75"/>
  <cols>
    <col width="31.42578125" customWidth="1" style="104" min="2" max="2"/>
    <col width="12" bestFit="1" customWidth="1" style="104" min="3" max="4"/>
    <col width="10.85546875" customWidth="1" style="104" min="5" max="5"/>
    <col width="10.85546875" bestFit="1" customWidth="1" style="104" min="6" max="6"/>
    <col width="10.85546875" bestFit="1" customWidth="1" style="104" min="7" max="7"/>
    <col width="10.7109375" customWidth="1" style="104" min="8" max="8"/>
    <col width="11.85546875" bestFit="1" customWidth="1" style="104" min="9" max="9"/>
    <col width="10.85546875" bestFit="1" customWidth="1" style="104" min="11" max="14"/>
    <col width="10.85546875" bestFit="1" customWidth="1" style="104" min="15" max="15"/>
    <col width="11.85546875" bestFit="1" customWidth="1" style="104" min="16" max="16"/>
    <col width="10.85546875" bestFit="1" customWidth="1" style="104" min="17" max="17"/>
    <col width="10.85546875" bestFit="1" customWidth="1" style="104" min="19" max="22"/>
    <col width="10.85546875" bestFit="1" customWidth="1" style="104" min="23" max="25"/>
    <col width="10.85546875" bestFit="1" customWidth="1" style="104" min="27" max="30"/>
    <col width="10.85546875" bestFit="1" customWidth="1" style="104" min="31" max="33"/>
    <col width="10.85546875" bestFit="1" customWidth="1" style="104" min="35" max="39"/>
    <col width="10.85546875" bestFit="1" customWidth="1" style="104" min="40" max="41"/>
    <col width="9.140625" customWidth="1" style="104" min="42" max="42"/>
    <col width="10.85546875" bestFit="1" customWidth="1" style="104" min="43" max="46"/>
    <col width="10.85546875" bestFit="1" customWidth="1" style="104" min="47" max="49"/>
    <col width="12.85546875" bestFit="1" customWidth="1" style="104" min="51" max="51"/>
    <col width="10.85546875" bestFit="1" customWidth="1" style="104" min="52" max="57"/>
  </cols>
  <sheetData>
    <row r="1"/>
    <row r="2">
      <c r="A2" s="11" t="n"/>
      <c r="B2" s="112" t="inlineStr">
        <is>
          <t>Temperatura ( K ) =</t>
        </is>
      </c>
      <c r="C2" s="59" t="inlineStr">
        <is>
          <t>973 K</t>
        </is>
      </c>
      <c r="D2" s="71" t="inlineStr">
        <is>
          <t>973 K</t>
        </is>
      </c>
      <c r="E2" s="71" t="inlineStr">
        <is>
          <t>973 K</t>
        </is>
      </c>
      <c r="F2" s="71" t="inlineStr">
        <is>
          <t>973 K</t>
        </is>
      </c>
      <c r="G2" s="71" t="inlineStr">
        <is>
          <t>973 K</t>
        </is>
      </c>
      <c r="H2" s="71" t="inlineStr">
        <is>
          <t>973 K</t>
        </is>
      </c>
      <c r="I2" s="71" t="inlineStr">
        <is>
          <t>973 K</t>
        </is>
      </c>
      <c r="J2" s="71" t="n"/>
      <c r="K2" s="59" t="inlineStr">
        <is>
          <t>998 K</t>
        </is>
      </c>
      <c r="L2" s="71" t="inlineStr">
        <is>
          <t>998 K</t>
        </is>
      </c>
      <c r="M2" s="71" t="inlineStr">
        <is>
          <t>998 K</t>
        </is>
      </c>
      <c r="N2" s="71" t="inlineStr">
        <is>
          <t>998 K</t>
        </is>
      </c>
      <c r="O2" s="71" t="inlineStr">
        <is>
          <t>998 K</t>
        </is>
      </c>
      <c r="P2" s="71" t="inlineStr">
        <is>
          <t>998 K</t>
        </is>
      </c>
      <c r="Q2" s="71" t="inlineStr">
        <is>
          <t>998 K</t>
        </is>
      </c>
      <c r="R2" s="71" t="n"/>
      <c r="S2" s="71" t="inlineStr">
        <is>
          <t>1023 K</t>
        </is>
      </c>
      <c r="T2" s="59" t="inlineStr">
        <is>
          <t>1023 K</t>
        </is>
      </c>
      <c r="U2" s="71" t="inlineStr">
        <is>
          <t>1023 K</t>
        </is>
      </c>
      <c r="V2" s="71" t="inlineStr">
        <is>
          <t>1023 K</t>
        </is>
      </c>
      <c r="W2" s="71" t="inlineStr">
        <is>
          <t>1023 K</t>
        </is>
      </c>
      <c r="X2" s="71" t="inlineStr">
        <is>
          <t>1023 K</t>
        </is>
      </c>
      <c r="Y2" s="71" t="inlineStr">
        <is>
          <t>1023 K</t>
        </is>
      </c>
      <c r="Z2" s="71" t="n"/>
      <c r="AA2" s="71" t="inlineStr">
        <is>
          <t>1048 K</t>
        </is>
      </c>
      <c r="AB2" s="71" t="inlineStr">
        <is>
          <t>1048 K</t>
        </is>
      </c>
      <c r="AC2" s="59" t="inlineStr">
        <is>
          <t>1048 K</t>
        </is>
      </c>
      <c r="AD2" s="71" t="inlineStr">
        <is>
          <t>1048 K</t>
        </is>
      </c>
      <c r="AE2" s="71" t="inlineStr">
        <is>
          <t>1048 K</t>
        </is>
      </c>
      <c r="AF2" s="71" t="inlineStr">
        <is>
          <t>1048 K</t>
        </is>
      </c>
      <c r="AG2" s="71" t="inlineStr">
        <is>
          <t>1048 K</t>
        </is>
      </c>
      <c r="AI2" s="71" t="inlineStr">
        <is>
          <t>1073 K</t>
        </is>
      </c>
      <c r="AJ2" s="71" t="inlineStr">
        <is>
          <t>1073 K</t>
        </is>
      </c>
      <c r="AK2" s="71" t="inlineStr">
        <is>
          <t>1073 K</t>
        </is>
      </c>
      <c r="AL2" s="71" t="inlineStr">
        <is>
          <t>1073 K</t>
        </is>
      </c>
      <c r="AM2" s="71" t="inlineStr">
        <is>
          <t>1073 K</t>
        </is>
      </c>
      <c r="AN2" s="71" t="inlineStr">
        <is>
          <t>1073 K</t>
        </is>
      </c>
      <c r="AO2" s="71" t="inlineStr">
        <is>
          <t>1073 K</t>
        </is>
      </c>
      <c r="AP2" s="71" t="n"/>
      <c r="AQ2" s="71" t="inlineStr">
        <is>
          <t>1098 K</t>
        </is>
      </c>
      <c r="AR2" s="71" t="inlineStr">
        <is>
          <t>1098 K</t>
        </is>
      </c>
      <c r="AS2" s="71" t="inlineStr">
        <is>
          <t>1098 K</t>
        </is>
      </c>
      <c r="AT2" s="59" t="inlineStr">
        <is>
          <t>1098 K</t>
        </is>
      </c>
      <c r="AU2" s="71" t="inlineStr">
        <is>
          <t>1098 K</t>
        </is>
      </c>
      <c r="AV2" s="71" t="inlineStr">
        <is>
          <t>1098 K</t>
        </is>
      </c>
      <c r="AW2" s="71" t="n"/>
      <c r="AY2" s="71" t="inlineStr">
        <is>
          <t>1123 K</t>
        </is>
      </c>
      <c r="AZ2" s="71" t="inlineStr">
        <is>
          <t>1123 K</t>
        </is>
      </c>
      <c r="BA2" s="71" t="inlineStr">
        <is>
          <t>1123 K</t>
        </is>
      </c>
      <c r="BB2" s="71" t="inlineStr">
        <is>
          <t>1123 K</t>
        </is>
      </c>
      <c r="BC2" s="59" t="inlineStr">
        <is>
          <t>1123 K</t>
        </is>
      </c>
      <c r="BD2" s="71" t="inlineStr">
        <is>
          <t>1123 K</t>
        </is>
      </c>
      <c r="BE2" s="71" t="inlineStr">
        <is>
          <t>1123 K</t>
        </is>
      </c>
    </row>
    <row r="3">
      <c r="A3" s="13" t="inlineStr">
        <is>
          <t>F</t>
        </is>
      </c>
      <c r="B3" s="112" t="inlineStr">
        <is>
          <t>Pressão ( Pa ) =</t>
        </is>
      </c>
      <c r="C3" t="n">
        <v>101325</v>
      </c>
      <c r="D3" t="n">
        <v>101325</v>
      </c>
      <c r="E3" t="n">
        <v>101325</v>
      </c>
      <c r="F3" t="n">
        <v>101325</v>
      </c>
      <c r="G3" t="n">
        <v>101325</v>
      </c>
      <c r="H3" t="n">
        <v>101325</v>
      </c>
      <c r="I3" t="n">
        <v>101325</v>
      </c>
      <c r="K3" t="n">
        <v>101325</v>
      </c>
      <c r="L3" t="n">
        <v>101325</v>
      </c>
      <c r="M3" t="n">
        <v>101325</v>
      </c>
      <c r="N3" t="n">
        <v>101325</v>
      </c>
      <c r="O3" t="n">
        <v>101325</v>
      </c>
      <c r="P3" t="n">
        <v>101325</v>
      </c>
      <c r="Q3" t="n">
        <v>101325</v>
      </c>
      <c r="S3" t="n">
        <v>101325</v>
      </c>
      <c r="T3" t="n">
        <v>101325</v>
      </c>
      <c r="U3" t="n">
        <v>101325</v>
      </c>
      <c r="V3" t="n">
        <v>101325</v>
      </c>
      <c r="W3" t="n">
        <v>101325</v>
      </c>
      <c r="X3" t="n">
        <v>101325</v>
      </c>
      <c r="Y3" t="n">
        <v>101325</v>
      </c>
      <c r="AA3" t="n">
        <v>101325</v>
      </c>
      <c r="AB3" t="n">
        <v>101325</v>
      </c>
      <c r="AC3" t="n">
        <v>101325</v>
      </c>
      <c r="AD3" t="n">
        <v>101325</v>
      </c>
      <c r="AE3" t="n">
        <v>101325</v>
      </c>
      <c r="AF3" t="n">
        <v>101325</v>
      </c>
      <c r="AG3" t="n">
        <v>101325</v>
      </c>
      <c r="AI3" t="n">
        <v>101325</v>
      </c>
      <c r="AJ3" t="n">
        <v>101325</v>
      </c>
      <c r="AK3" t="n">
        <v>101325</v>
      </c>
      <c r="AL3" t="n">
        <v>101325</v>
      </c>
      <c r="AM3" t="n">
        <v>101325</v>
      </c>
      <c r="AN3" t="n">
        <v>101325</v>
      </c>
      <c r="AO3" t="n">
        <v>101325</v>
      </c>
      <c r="AQ3" t="n">
        <v>101325</v>
      </c>
      <c r="AR3" t="n">
        <v>101325</v>
      </c>
      <c r="AS3" t="n">
        <v>101325</v>
      </c>
      <c r="AT3" t="n">
        <v>101325</v>
      </c>
      <c r="AU3" t="n">
        <v>101325</v>
      </c>
      <c r="AV3" t="n">
        <v>101325</v>
      </c>
      <c r="AW3" t="n">
        <v>101325</v>
      </c>
      <c r="AY3" t="n">
        <v>101325</v>
      </c>
      <c r="AZ3" t="n">
        <v>101325</v>
      </c>
      <c r="BA3" t="n">
        <v>101325</v>
      </c>
      <c r="BB3" t="n">
        <v>101325</v>
      </c>
      <c r="BC3" t="n">
        <v>101325</v>
      </c>
      <c r="BD3" t="n">
        <v>101325</v>
      </c>
      <c r="BE3" t="n">
        <v>101325</v>
      </c>
    </row>
    <row r="4">
      <c r="A4" s="13" t="inlineStr">
        <is>
          <t>E</t>
        </is>
      </c>
      <c r="B4" s="112" t="inlineStr">
        <is>
          <t>“BIOGAS” Flow (mol/s) =</t>
        </is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I4" t="n">
        <v>0.01</v>
      </c>
      <c r="AJ4" t="n">
        <v>0.01</v>
      </c>
      <c r="AK4" t="n">
        <v>0.01</v>
      </c>
      <c r="AL4" t="n">
        <v>0.01</v>
      </c>
      <c r="AM4" t="n">
        <v>0.01</v>
      </c>
      <c r="AN4" t="n">
        <v>0.01</v>
      </c>
      <c r="AO4" t="n">
        <v>0.01</v>
      </c>
      <c r="AQ4" t="n">
        <v>0.01</v>
      </c>
      <c r="AR4" t="n">
        <v>0.01</v>
      </c>
      <c r="AS4" t="n">
        <v>0.01</v>
      </c>
      <c r="AT4" t="n">
        <v>0.01</v>
      </c>
      <c r="AU4" t="n">
        <v>0.01</v>
      </c>
      <c r="AV4" t="n">
        <v>0.01</v>
      </c>
      <c r="AW4" t="n">
        <v>0.01</v>
      </c>
      <c r="AY4" t="n">
        <v>0.01</v>
      </c>
      <c r="AZ4" t="n">
        <v>0.01</v>
      </c>
      <c r="BA4" t="n">
        <v>0.01</v>
      </c>
      <c r="BB4" t="n">
        <v>0.01</v>
      </c>
      <c r="BC4" t="n">
        <v>0.01</v>
      </c>
      <c r="BD4" t="n">
        <v>0.01</v>
      </c>
      <c r="BE4" t="n">
        <v>0.01</v>
      </c>
    </row>
    <row r="5">
      <c r="A5" s="13" t="inlineStr">
        <is>
          <t>E</t>
        </is>
      </c>
    </row>
    <row r="6">
      <c r="A6" s="13" t="inlineStr">
        <is>
          <t>D</t>
        </is>
      </c>
      <c r="B6" s="22" t="inlineStr">
        <is>
          <t>Basis: MOLAR FRACTION</t>
        </is>
      </c>
    </row>
    <row r="7" ht="15.75" customHeight="1" s="104">
      <c r="A7" s="13" t="n"/>
      <c r="B7" s="112" t="inlineStr">
        <is>
          <t>CH4/CO2 =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</row>
    <row r="8" ht="15.75" customHeight="1" s="104">
      <c r="A8" s="23" t="inlineStr">
        <is>
          <t>IN</t>
        </is>
      </c>
      <c r="B8" s="112" t="inlineStr">
        <is>
          <t>CH4 (fração molar) =</t>
        </is>
      </c>
      <c r="C8" s="58" t="n">
        <v>0.5</v>
      </c>
      <c r="D8" t="n">
        <v>0.525</v>
      </c>
      <c r="E8" t="n">
        <v>0.55</v>
      </c>
      <c r="F8" t="n">
        <v>0.575</v>
      </c>
      <c r="G8" t="n">
        <v>0.6</v>
      </c>
      <c r="H8" t="n">
        <v>0.625</v>
      </c>
      <c r="I8" t="n">
        <v>0.65</v>
      </c>
      <c r="K8" s="58" t="n">
        <v>0.5</v>
      </c>
      <c r="L8" t="n">
        <v>0.525</v>
      </c>
      <c r="M8" t="n">
        <v>0.55</v>
      </c>
      <c r="N8" t="n">
        <v>0.575</v>
      </c>
      <c r="O8" t="n">
        <v>0.6</v>
      </c>
      <c r="P8" t="n">
        <v>0.625</v>
      </c>
      <c r="Q8" t="n">
        <v>0.65</v>
      </c>
      <c r="S8" t="n">
        <v>0.5</v>
      </c>
      <c r="T8" s="58" t="n">
        <v>0.525</v>
      </c>
      <c r="U8" t="n">
        <v>0.55</v>
      </c>
      <c r="V8" t="n">
        <v>0.575</v>
      </c>
      <c r="W8" t="n">
        <v>0.6</v>
      </c>
      <c r="X8" t="n">
        <v>0.625</v>
      </c>
      <c r="Y8" t="n">
        <v>0.65</v>
      </c>
      <c r="AA8" t="n">
        <v>0.5</v>
      </c>
      <c r="AB8" t="n">
        <v>0.525</v>
      </c>
      <c r="AC8" s="58" t="n">
        <v>0.55</v>
      </c>
      <c r="AD8" t="n">
        <v>0.575</v>
      </c>
      <c r="AE8" t="n">
        <v>0.6</v>
      </c>
      <c r="AF8" t="n">
        <v>0.625</v>
      </c>
      <c r="AG8" t="n">
        <v>0.65</v>
      </c>
      <c r="AI8" t="n">
        <v>0.5</v>
      </c>
      <c r="AJ8" t="n">
        <v>0.525</v>
      </c>
      <c r="AK8" t="n">
        <v>0.55</v>
      </c>
      <c r="AL8" t="n">
        <v>0.575</v>
      </c>
      <c r="AM8" t="n">
        <v>0.6</v>
      </c>
      <c r="AN8" t="n">
        <v>0.625</v>
      </c>
      <c r="AO8" t="n">
        <v>0.65</v>
      </c>
      <c r="AQ8" t="n">
        <v>0.5</v>
      </c>
      <c r="AR8" t="n">
        <v>0.525</v>
      </c>
      <c r="AS8" t="n">
        <v>0.55</v>
      </c>
      <c r="AT8" s="58" t="n">
        <v>0.575</v>
      </c>
      <c r="AU8" t="n">
        <v>0.6</v>
      </c>
      <c r="AV8" t="n">
        <v>0.625</v>
      </c>
      <c r="AW8" t="n">
        <v>0.65</v>
      </c>
      <c r="AY8" t="n">
        <v>0.5</v>
      </c>
      <c r="AZ8" t="n">
        <v>0.525</v>
      </c>
      <c r="BA8" t="n">
        <v>0.55</v>
      </c>
      <c r="BB8" t="n">
        <v>0.575</v>
      </c>
      <c r="BC8" s="58" t="n">
        <v>0.6</v>
      </c>
      <c r="BD8" t="n">
        <v>0.625</v>
      </c>
      <c r="BE8" t="n">
        <v>0.65</v>
      </c>
    </row>
    <row r="9" ht="15.75" customHeight="1" s="104">
      <c r="A9" s="14" t="n"/>
      <c r="B9" s="112" t="inlineStr">
        <is>
          <t>CO2 (fração molar) =</t>
        </is>
      </c>
      <c r="C9" s="58" t="n">
        <v>0.5</v>
      </c>
      <c r="D9" t="n">
        <v>0.475</v>
      </c>
      <c r="E9" t="n">
        <v>0.45</v>
      </c>
      <c r="F9" t="n">
        <v>0.425</v>
      </c>
      <c r="G9" t="n">
        <v>0.4</v>
      </c>
      <c r="H9" t="n">
        <v>0.375</v>
      </c>
      <c r="I9" t="n">
        <v>0.35</v>
      </c>
      <c r="K9" s="58" t="n">
        <v>0.5</v>
      </c>
      <c r="L9" t="n">
        <v>0.475</v>
      </c>
      <c r="M9" t="n">
        <v>0.45</v>
      </c>
      <c r="N9" t="n">
        <v>0.425</v>
      </c>
      <c r="O9" t="n">
        <v>0.4</v>
      </c>
      <c r="P9" t="n">
        <v>0.375</v>
      </c>
      <c r="Q9" t="n">
        <v>0.35</v>
      </c>
      <c r="S9" t="n">
        <v>0.5</v>
      </c>
      <c r="T9" s="58" t="n">
        <v>0.475</v>
      </c>
      <c r="U9" t="n">
        <v>0.45</v>
      </c>
      <c r="V9" t="n">
        <v>0.425</v>
      </c>
      <c r="W9" t="n">
        <v>0.4</v>
      </c>
      <c r="X9" t="n">
        <v>0.375</v>
      </c>
      <c r="Y9" t="n">
        <v>0.35</v>
      </c>
      <c r="AA9" t="n">
        <v>0.5</v>
      </c>
      <c r="AB9" t="n">
        <v>0.475</v>
      </c>
      <c r="AC9" s="58" t="n">
        <v>0.45</v>
      </c>
      <c r="AD9" t="n">
        <v>0.425</v>
      </c>
      <c r="AE9" t="n">
        <v>0.4</v>
      </c>
      <c r="AF9" t="n">
        <v>0.375</v>
      </c>
      <c r="AG9" t="n">
        <v>0.35</v>
      </c>
      <c r="AI9" t="n">
        <v>0.5</v>
      </c>
      <c r="AJ9" t="n">
        <v>0.475</v>
      </c>
      <c r="AK9" t="n">
        <v>0.45</v>
      </c>
      <c r="AL9" t="n">
        <v>0.425</v>
      </c>
      <c r="AM9" t="n">
        <v>0.4</v>
      </c>
      <c r="AN9" t="n">
        <v>0.375</v>
      </c>
      <c r="AO9" t="n">
        <v>0.35</v>
      </c>
      <c r="AQ9" t="n">
        <v>0.5</v>
      </c>
      <c r="AR9" t="n">
        <v>0.475</v>
      </c>
      <c r="AS9" t="n">
        <v>0.45</v>
      </c>
      <c r="AT9" s="58" t="n">
        <v>0.425</v>
      </c>
      <c r="AU9" t="n">
        <v>0.4</v>
      </c>
      <c r="AV9" t="n">
        <v>0.375</v>
      </c>
      <c r="AW9" t="n">
        <v>0.35</v>
      </c>
      <c r="AY9" t="n">
        <v>0.5</v>
      </c>
      <c r="AZ9" t="n">
        <v>0.475</v>
      </c>
      <c r="BA9" t="n">
        <v>0.45</v>
      </c>
      <c r="BB9" t="n">
        <v>0.425</v>
      </c>
      <c r="BC9" s="58" t="n">
        <v>0.4</v>
      </c>
      <c r="BD9" t="n">
        <v>0.375</v>
      </c>
      <c r="BE9" t="n">
        <v>0.35</v>
      </c>
    </row>
    <row r="10">
      <c r="C10" s="113" t="n"/>
      <c r="D10" s="113" t="n"/>
      <c r="E10" s="113" t="n"/>
      <c r="F10" s="113" t="n"/>
      <c r="G10" s="113" t="n"/>
      <c r="H10" s="113" t="n"/>
      <c r="I10" s="113" t="n"/>
      <c r="J10" s="113" t="n"/>
      <c r="K10" s="113" t="n"/>
      <c r="L10" s="113" t="n"/>
      <c r="M10" s="113" t="n"/>
      <c r="N10" s="113" t="n"/>
      <c r="O10" s="113" t="n"/>
      <c r="P10" s="113" t="n"/>
      <c r="Q10" s="113" t="n"/>
      <c r="R10" s="113" t="n"/>
      <c r="S10" s="113" t="n"/>
      <c r="T10" s="113" t="n"/>
      <c r="U10" s="113" t="n"/>
      <c r="V10" s="113" t="n"/>
      <c r="W10" s="113" t="n"/>
      <c r="X10" s="113" t="n"/>
      <c r="Y10" s="113" t="n"/>
      <c r="Z10" s="113" t="n"/>
      <c r="AA10" s="113" t="n"/>
      <c r="AB10" s="113" t="n"/>
      <c r="AC10" s="113" t="n"/>
      <c r="AD10" s="113" t="n"/>
      <c r="AE10" s="113" t="n"/>
      <c r="AF10" s="113" t="n"/>
      <c r="AG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  <c r="AY10" s="113" t="n"/>
      <c r="AZ10" s="113" t="n"/>
      <c r="BA10" s="113" t="n"/>
      <c r="BB10" s="113" t="n"/>
      <c r="BC10" s="113" t="n"/>
      <c r="BD10" s="113" t="n"/>
      <c r="BE10" s="113" t="n"/>
    </row>
    <row r="11">
      <c r="A11" s="24" t="n"/>
      <c r="B11" s="22" t="inlineStr">
        <is>
          <t>Basis: MOLAR FLOW</t>
        </is>
      </c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S11" s="149" t="n"/>
      <c r="T11" s="149" t="n"/>
      <c r="U11" s="149" t="n"/>
      <c r="V11" s="149" t="n"/>
      <c r="W11" s="149" t="n"/>
      <c r="X11" s="149" t="n"/>
      <c r="Y11" s="149" t="n"/>
      <c r="Z11" s="149" t="n"/>
      <c r="AA11" s="61" t="n"/>
      <c r="AB11" s="149" t="n"/>
      <c r="AC11" s="149" t="n"/>
      <c r="AD11" s="149" t="n"/>
      <c r="AE11" s="149" t="n"/>
      <c r="AF11" s="149" t="n"/>
      <c r="AG11" s="149" t="n"/>
      <c r="AH11" s="141" t="n"/>
      <c r="AI11" s="149" t="n"/>
      <c r="AJ11" s="149" t="n"/>
      <c r="AK11" s="149" t="n"/>
      <c r="AL11" s="149" t="n"/>
      <c r="AM11" s="149" t="n"/>
      <c r="AN11" s="149" t="n"/>
      <c r="AO11" s="149" t="n"/>
      <c r="AP11" s="149" t="n"/>
      <c r="AQ11" s="149" t="n"/>
      <c r="AR11" s="149" t="n"/>
      <c r="AS11" s="149" t="n"/>
      <c r="AT11" s="149" t="n"/>
      <c r="AU11" s="149" t="n"/>
      <c r="AV11" s="149" t="n"/>
      <c r="AW11" s="149" t="n"/>
      <c r="AX11" s="141" t="n"/>
      <c r="AY11" s="149" t="n"/>
      <c r="AZ11" s="149" t="n"/>
      <c r="BA11" s="149" t="n"/>
      <c r="BB11" s="149" t="n"/>
      <c r="BC11" s="149" t="n"/>
      <c r="BD11" s="149" t="n"/>
      <c r="BE11" s="149" t="n"/>
    </row>
    <row r="12" ht="15.75" customHeight="1" s="104">
      <c r="A12" s="13" t="inlineStr">
        <is>
          <t>P</t>
        </is>
      </c>
      <c r="B12" s="112" t="inlineStr">
        <is>
          <t>CH4 ( mol/s )</t>
        </is>
      </c>
      <c r="C12" s="106" t="n">
        <v>0.00011262527</v>
      </c>
      <c r="D12" s="106" t="n">
        <v>0.00012511513</v>
      </c>
      <c r="E12" s="106" t="n">
        <v>0.00013800266</v>
      </c>
      <c r="F12" s="106" t="n">
        <v>0.00015123518</v>
      </c>
      <c r="G12" s="106" t="n">
        <v>0.00016475861</v>
      </c>
      <c r="H12" s="106" t="n">
        <v>0.00017851763</v>
      </c>
      <c r="I12" s="106" t="n">
        <v>0.000192455</v>
      </c>
      <c r="J12" s="139" t="n"/>
      <c r="K12" s="61" t="n">
        <v>7.644734299999999e-05</v>
      </c>
      <c r="L12" s="61" t="n">
        <v>8.551585199999999e-05</v>
      </c>
      <c r="M12" s="61" t="n">
        <v>9.4963521e-05</v>
      </c>
      <c r="N12" s="106" t="n">
        <v>0.00010475864</v>
      </c>
      <c r="O12" s="106" t="n">
        <v>0.00011486777</v>
      </c>
      <c r="P12" s="106" t="n">
        <v>0.00012525619</v>
      </c>
      <c r="Q12" s="106" t="n">
        <v>0.00013588775</v>
      </c>
      <c r="R12" s="139" t="n"/>
      <c r="S12" s="61" t="n">
        <v>5.2354132e-05</v>
      </c>
      <c r="T12" s="61" t="n">
        <v>5.8984392e-05</v>
      </c>
      <c r="U12" s="61" t="n">
        <v>6.595309600000001e-05</v>
      </c>
      <c r="V12" s="61" t="n">
        <v>7.3244677e-05</v>
      </c>
      <c r="W12" s="61" t="n">
        <v>8.0842088e-05</v>
      </c>
      <c r="X12" s="61" t="n">
        <v>8.8726177e-05</v>
      </c>
      <c r="Y12" s="61" t="n">
        <v>9.6862124e-05</v>
      </c>
      <c r="Z12" s="139" t="n"/>
      <c r="AA12" s="61" t="n">
        <v>3.6091758e-05</v>
      </c>
      <c r="AB12" s="61" t="n">
        <v>4.0998142e-05</v>
      </c>
      <c r="AC12" s="61" t="n">
        <v>4.619288e-05</v>
      </c>
      <c r="AD12" s="61" t="n">
        <v>5.1672116e-05</v>
      </c>
      <c r="AE12" s="61" t="n">
        <v>5.742967e-05</v>
      </c>
      <c r="AF12" s="61" t="n">
        <v>6.345773399999999e-05</v>
      </c>
      <c r="AG12" s="61" t="n">
        <v>6.9745329e-05</v>
      </c>
      <c r="AH12" s="141" t="n"/>
      <c r="AI12" s="61" t="n">
        <v>2.4882442e-05</v>
      </c>
      <c r="AJ12" s="61" t="n">
        <v>2.8556558e-05</v>
      </c>
      <c r="AK12" s="61" t="n">
        <v>3.2473383e-05</v>
      </c>
      <c r="AL12" s="61" t="n">
        <v>3.6634214e-05</v>
      </c>
      <c r="AM12" s="61" t="n">
        <v>4.1038887e-05</v>
      </c>
      <c r="AN12" s="61" t="n">
        <v>4.5685474e-05</v>
      </c>
      <c r="AO12" s="61" t="n">
        <v>5.0569729e-05</v>
      </c>
      <c r="AP12" s="139" t="n"/>
      <c r="AQ12" s="61" t="n">
        <v>1.7025466e-05</v>
      </c>
      <c r="AR12" s="61" t="n">
        <v>1.979038e-05</v>
      </c>
      <c r="AS12" s="61" t="n">
        <v>2.2763471e-05</v>
      </c>
      <c r="AT12" s="61" t="n">
        <v>2.5946947e-05</v>
      </c>
      <c r="AU12" s="61" t="n">
        <v>2.9342929e-05</v>
      </c>
      <c r="AV12" s="61" t="n">
        <v>3.2953016e-05</v>
      </c>
      <c r="AW12" s="61" t="n">
        <v>3.6776779e-05</v>
      </c>
      <c r="AX12" s="141" t="n"/>
      <c r="AY12" s="61" t="n">
        <v>1.1525835e-05</v>
      </c>
      <c r="AZ12" s="61" t="n">
        <v>1.3596678e-05</v>
      </c>
      <c r="BA12" s="61" t="n">
        <v>1.5852645e-05</v>
      </c>
      <c r="BB12" s="61" t="n">
        <v>1.8296579e-05</v>
      </c>
      <c r="BC12" s="61" t="n">
        <v>2.0931972e-05</v>
      </c>
      <c r="BD12" s="61" t="n">
        <v>2.3762662e-05</v>
      </c>
      <c r="BE12" s="61" t="n">
        <v>2.6789086e-05</v>
      </c>
    </row>
    <row r="13" ht="15.75" customHeight="1" s="104">
      <c r="A13" s="13" t="inlineStr">
        <is>
          <t>R</t>
        </is>
      </c>
      <c r="B13" s="112" t="inlineStr">
        <is>
          <t>CO2 ( mol/s)</t>
        </is>
      </c>
      <c r="C13" s="106" t="n">
        <v>0.0019789724</v>
      </c>
      <c r="D13" s="106" t="n">
        <v>0.0017921818</v>
      </c>
      <c r="E13" s="106" t="n">
        <v>0.0016145257</v>
      </c>
      <c r="F13" s="106" t="n">
        <v>0.0014458627</v>
      </c>
      <c r="G13" s="106" t="n">
        <v>0.0012860969</v>
      </c>
      <c r="H13" s="106" t="n">
        <v>0.0011351769</v>
      </c>
      <c r="I13" s="106" t="n">
        <v>0.00099309332</v>
      </c>
      <c r="J13" s="139" t="n"/>
      <c r="K13" s="106" t="n">
        <v>0.0018107754</v>
      </c>
      <c r="L13" s="106" t="n">
        <v>0.0016352565</v>
      </c>
      <c r="M13" s="106" t="n">
        <v>0.0014692017</v>
      </c>
      <c r="N13" s="106" t="n">
        <v>0.0013123822</v>
      </c>
      <c r="O13" s="106" t="n">
        <v>0.001164611</v>
      </c>
      <c r="P13" s="106" t="n">
        <v>0.0010257389</v>
      </c>
      <c r="Q13" s="106" t="n">
        <v>0.00089565201</v>
      </c>
      <c r="R13" s="139" t="n"/>
      <c r="S13" s="106" t="n">
        <v>0.0016368936</v>
      </c>
      <c r="T13" s="106" t="n">
        <v>0.0014726894</v>
      </c>
      <c r="U13" s="106" t="n">
        <v>0.0013182609</v>
      </c>
      <c r="V13" s="106" t="n">
        <v>0.0011732656</v>
      </c>
      <c r="W13" s="106" t="n">
        <v>0.0010374189</v>
      </c>
      <c r="X13" s="106" t="n">
        <v>0.00091048004</v>
      </c>
      <c r="Y13" s="106" t="n">
        <v>0.00079223903</v>
      </c>
      <c r="Z13" s="139" t="n"/>
      <c r="AA13" s="106" t="n">
        <v>0.0014610767</v>
      </c>
      <c r="AB13" s="106" t="n">
        <v>0.0013077472</v>
      </c>
      <c r="AC13" s="106" t="n">
        <v>0.0011646846</v>
      </c>
      <c r="AD13" s="106" t="n">
        <v>0.001031345</v>
      </c>
      <c r="AE13" s="106" t="n">
        <v>0.00090728864</v>
      </c>
      <c r="AF13" s="106" t="n">
        <v>0.00079215305</v>
      </c>
      <c r="AG13" s="106" t="n">
        <v>0.00068562805</v>
      </c>
      <c r="AH13" s="141" t="n"/>
      <c r="AI13" s="106" t="n">
        <v>0.0012903596</v>
      </c>
      <c r="AJ13" s="106" t="n">
        <v>0.0011464546</v>
      </c>
      <c r="AK13" s="106" t="n">
        <v>0.0010137224</v>
      </c>
      <c r="AL13" s="106" t="n">
        <v>0.00089130187</v>
      </c>
      <c r="AM13" s="106" t="n">
        <v>0.00077850629</v>
      </c>
      <c r="AN13" s="106" t="n">
        <v>0.00067478109</v>
      </c>
      <c r="AO13" s="106" t="n">
        <v>0.00057966968</v>
      </c>
      <c r="AP13" s="139" t="n"/>
      <c r="AQ13" s="106" t="n">
        <v>0.0011344683</v>
      </c>
      <c r="AR13" s="106" t="n">
        <v>0.0009976789099999999</v>
      </c>
      <c r="AS13" s="106" t="n">
        <v>0.00087342061</v>
      </c>
      <c r="AT13" s="106" t="n">
        <v>0.00076046807</v>
      </c>
      <c r="AU13" s="106" t="n">
        <v>0.00065782232</v>
      </c>
      <c r="AV13" s="106" t="n">
        <v>0.00056467475</v>
      </c>
      <c r="AW13" s="106" t="n">
        <v>0.00048036156</v>
      </c>
      <c r="AX13" s="141" t="n"/>
      <c r="AY13" s="106" t="n">
        <v>0.0010024413</v>
      </c>
      <c r="AZ13" s="106" t="n">
        <v>0.0008705045</v>
      </c>
      <c r="BA13" s="106" t="n">
        <v>0.00075265465</v>
      </c>
      <c r="BB13" s="106" t="n">
        <v>0.00064737399</v>
      </c>
      <c r="BC13" s="106" t="n">
        <v>0.00055336837</v>
      </c>
      <c r="BD13" s="106" t="n">
        <v>0.00046955241</v>
      </c>
      <c r="BE13" s="106" t="n">
        <v>0.00039499979</v>
      </c>
    </row>
    <row r="14">
      <c r="A14" s="13" t="inlineStr">
        <is>
          <t>O</t>
        </is>
      </c>
      <c r="B14" s="112" t="inlineStr">
        <is>
          <t>CO (mol/s)</t>
        </is>
      </c>
      <c r="C14" s="106" t="n">
        <v>0.0035466594</v>
      </c>
      <c r="D14" s="106" t="n">
        <v>0.0034186189</v>
      </c>
      <c r="E14" s="106" t="n">
        <v>0.0032820284</v>
      </c>
      <c r="F14" s="106" t="n">
        <v>0.0031374021</v>
      </c>
      <c r="G14" s="106" t="n">
        <v>0.002985239</v>
      </c>
      <c r="H14" s="106" t="n">
        <v>0.0028260292</v>
      </c>
      <c r="I14" s="106" t="n">
        <v>0.0026602641</v>
      </c>
      <c r="J14" s="139" t="n"/>
      <c r="K14" s="106" t="n">
        <v>0.0040715049</v>
      </c>
      <c r="L14" s="106" t="n">
        <v>0.0039314935</v>
      </c>
      <c r="M14" s="106" t="n">
        <v>0.0037817534</v>
      </c>
      <c r="N14" s="106" t="n">
        <v>0.0036228319</v>
      </c>
      <c r="O14" s="106" t="n">
        <v>0.0034552483</v>
      </c>
      <c r="P14" s="106" t="n">
        <v>0.0032795078</v>
      </c>
      <c r="Q14" s="106" t="n">
        <v>0.0030961146</v>
      </c>
      <c r="R14" s="139" t="n"/>
      <c r="S14" s="106" t="n">
        <v>0.0046102541</v>
      </c>
      <c r="T14" s="106" t="n">
        <v>0.0044577864</v>
      </c>
      <c r="U14" s="106" t="n">
        <v>0.0042942461</v>
      </c>
      <c r="V14" s="106" t="n">
        <v>0.0041203606</v>
      </c>
      <c r="W14" s="106" t="n">
        <v>0.00393675</v>
      </c>
      <c r="X14" s="106" t="n">
        <v>0.0037439791</v>
      </c>
      <c r="Y14" s="106" t="n">
        <v>0.0035426122</v>
      </c>
      <c r="Z14" s="139" t="n"/>
      <c r="AA14" s="106" t="n">
        <v>0.0051517562</v>
      </c>
      <c r="AB14" s="106" t="n">
        <v>0.0049883738</v>
      </c>
      <c r="AC14" s="106" t="n">
        <v>0.00481174</v>
      </c>
      <c r="AD14" s="106" t="n">
        <v>0.004623053</v>
      </c>
      <c r="AE14" s="106" t="n">
        <v>0.0044232591</v>
      </c>
      <c r="AF14" s="106" t="n">
        <v>0.0042131226</v>
      </c>
      <c r="AG14" s="106" t="n">
        <v>0.0039933127</v>
      </c>
      <c r="AH14" s="141" t="n"/>
      <c r="AI14" s="106" t="n">
        <v>0.0056728464</v>
      </c>
      <c r="AJ14" s="106" t="n">
        <v>0.0055033081</v>
      </c>
      <c r="AK14" s="106" t="n">
        <v>0.0053168588</v>
      </c>
      <c r="AL14" s="106" t="n">
        <v>0.005115464</v>
      </c>
      <c r="AM14" s="106" t="n">
        <v>0.0049006507</v>
      </c>
      <c r="AN14" s="106" t="n">
        <v>0.0046736008</v>
      </c>
      <c r="AO14" s="106" t="n">
        <v>0.0044352367</v>
      </c>
      <c r="AP14" s="139" t="n"/>
      <c r="AQ14" s="106" t="n">
        <v>0.0061412437</v>
      </c>
      <c r="AR14" s="106" t="n">
        <v>0.0059722888</v>
      </c>
      <c r="AS14" s="106" t="n">
        <v>0.0057813307</v>
      </c>
      <c r="AT14" s="106" t="n">
        <v>0.005571109</v>
      </c>
      <c r="AU14" s="106" t="n">
        <v>0.0053438254</v>
      </c>
      <c r="AV14" s="106" t="n">
        <v>0.0051011836</v>
      </c>
      <c r="AW14" s="106" t="n">
        <v>0.0048444916</v>
      </c>
      <c r="AX14" s="141" t="n"/>
      <c r="AY14" s="106" t="n">
        <v>0.0065270826</v>
      </c>
      <c r="AZ14" s="106" t="n">
        <v>0.0063641473</v>
      </c>
      <c r="BA14" s="106" t="n">
        <v>0.0061735549</v>
      </c>
      <c r="BB14" s="106" t="n">
        <v>0.0059584599</v>
      </c>
      <c r="BC14" s="106" t="n">
        <v>0.0057215579</v>
      </c>
      <c r="BD14" s="106" t="n">
        <v>0.0054650449</v>
      </c>
      <c r="BE14" s="106" t="n">
        <v>0.0051907459</v>
      </c>
    </row>
    <row r="15" ht="15.75" customHeight="1" s="104">
      <c r="A15" s="13" t="inlineStr">
        <is>
          <t>D</t>
        </is>
      </c>
      <c r="B15" s="112" t="inlineStr">
        <is>
          <t>H2O ( mol/s)</t>
        </is>
      </c>
      <c r="C15" s="106" t="n">
        <v>0.0024953959</v>
      </c>
      <c r="D15" s="106" t="n">
        <v>0.0024970177</v>
      </c>
      <c r="E15" s="106" t="n">
        <v>0.0024889203</v>
      </c>
      <c r="F15" s="106" t="n">
        <v>0.0024708727</v>
      </c>
      <c r="G15" s="106" t="n">
        <v>0.0024425673</v>
      </c>
      <c r="H15" s="106" t="n">
        <v>0.0024036172</v>
      </c>
      <c r="I15" s="106" t="n">
        <v>0.0023535494</v>
      </c>
      <c r="J15" s="139" t="n"/>
      <c r="K15" s="106" t="n">
        <v>0.0023069445</v>
      </c>
      <c r="L15" s="106" t="n">
        <v>0.0022979937</v>
      </c>
      <c r="M15" s="106" t="n">
        <v>0.0022798435</v>
      </c>
      <c r="N15" s="106" t="n">
        <v>0.0022524039</v>
      </c>
      <c r="O15" s="106" t="n">
        <v>0.0022155299</v>
      </c>
      <c r="P15" s="106" t="n">
        <v>0.0021690145</v>
      </c>
      <c r="Q15" s="106" t="n">
        <v>0.0021125816</v>
      </c>
      <c r="R15" s="139" t="n"/>
      <c r="S15" s="106" t="n">
        <v>0.0021159589</v>
      </c>
      <c r="T15" s="106" t="n">
        <v>0.0020968351</v>
      </c>
      <c r="U15" s="106" t="n">
        <v>0.0020692323</v>
      </c>
      <c r="V15" s="106" t="n">
        <v>0.0020331085</v>
      </c>
      <c r="W15" s="106" t="n">
        <v>0.0019884123</v>
      </c>
      <c r="X15" s="106" t="n">
        <v>0.001935061</v>
      </c>
      <c r="Y15" s="106" t="n">
        <v>0.0018729099</v>
      </c>
      <c r="Z15" s="139" t="n"/>
      <c r="AA15" s="106" t="n">
        <v>0.0019260905</v>
      </c>
      <c r="AB15" s="106" t="n">
        <v>0.001896132</v>
      </c>
      <c r="AC15" s="106" t="n">
        <v>0.0018588911</v>
      </c>
      <c r="AD15" s="106" t="n">
        <v>0.0018142573</v>
      </c>
      <c r="AE15" s="106" t="n">
        <v>0.0017621639</v>
      </c>
      <c r="AF15" s="106" t="n">
        <v>0.0017025715</v>
      </c>
      <c r="AG15" s="106" t="n">
        <v>0.0016354314</v>
      </c>
      <c r="AH15" s="141" t="n"/>
      <c r="AI15" s="106" t="n">
        <v>0.0017464346</v>
      </c>
      <c r="AJ15" s="106" t="n">
        <v>0.0017037829</v>
      </c>
      <c r="AK15" s="106" t="n">
        <v>0.0016556967</v>
      </c>
      <c r="AL15" s="106" t="n">
        <v>0.0016019324</v>
      </c>
      <c r="AM15" s="106" t="n">
        <v>0.0015423369</v>
      </c>
      <c r="AN15" s="106" t="n">
        <v>0.0014768373</v>
      </c>
      <c r="AO15" s="106" t="n">
        <v>0.0014054242</v>
      </c>
      <c r="AP15" s="139" t="n"/>
      <c r="AQ15" s="106" t="n">
        <v>0.00158982</v>
      </c>
      <c r="AR15" s="106" t="n">
        <v>0.0015323535</v>
      </c>
      <c r="AS15" s="106" t="n">
        <v>0.0014718283</v>
      </c>
      <c r="AT15" s="106" t="n">
        <v>0.0014079551</v>
      </c>
      <c r="AU15" s="106" t="n">
        <v>0.0013405301</v>
      </c>
      <c r="AV15" s="106" t="n">
        <v>0.0012694671</v>
      </c>
      <c r="AW15" s="106" t="n">
        <v>0.0011947855</v>
      </c>
      <c r="AX15" s="141" t="n"/>
      <c r="AY15" s="106" t="n">
        <v>0.0014680349</v>
      </c>
      <c r="AZ15" s="106" t="n">
        <v>0.0013948439</v>
      </c>
      <c r="BA15" s="106" t="n">
        <v>0.001321136</v>
      </c>
      <c r="BB15" s="106" t="n">
        <v>0.0012467923</v>
      </c>
      <c r="BC15" s="106" t="n">
        <v>0.0011717056</v>
      </c>
      <c r="BD15" s="106" t="n">
        <v>0.0010958504</v>
      </c>
      <c r="BE15" s="106" t="n">
        <v>0.0010192548</v>
      </c>
    </row>
    <row r="16">
      <c r="A16" s="19" t="n"/>
      <c r="B16" s="112" t="inlineStr">
        <is>
          <t>C ( mol/s)</t>
        </is>
      </c>
      <c r="C16" s="106" t="n">
        <v>0.0043617431</v>
      </c>
      <c r="D16" s="106" t="n">
        <v>0.0046640844</v>
      </c>
      <c r="E16" s="106" t="n">
        <v>0.0049654434</v>
      </c>
      <c r="F16" s="106" t="n">
        <v>0.0052655002</v>
      </c>
      <c r="G16" s="106" t="n">
        <v>0.0055639056</v>
      </c>
      <c r="H16" s="106" t="n">
        <v>0.0058602765</v>
      </c>
      <c r="I16" s="106" t="n">
        <v>0.0061541877</v>
      </c>
      <c r="J16" s="139" t="n"/>
      <c r="K16" s="106" t="n">
        <v>0.0040412726</v>
      </c>
      <c r="L16" s="106" t="n">
        <v>0.0043477343</v>
      </c>
      <c r="M16" s="106" t="n">
        <v>0.0046540816</v>
      </c>
      <c r="N16" s="106" t="n">
        <v>0.0049600275</v>
      </c>
      <c r="O16" s="106" t="n">
        <v>0.0052652731</v>
      </c>
      <c r="P16" s="106" t="n">
        <v>0.0055694973</v>
      </c>
      <c r="Q16" s="106" t="n">
        <v>0.0058723458</v>
      </c>
      <c r="R16" s="139" t="n"/>
      <c r="S16" s="106" t="n">
        <v>0.0037004984</v>
      </c>
      <c r="T16" s="106" t="n">
        <v>0.0040105401</v>
      </c>
      <c r="U16" s="106" t="n">
        <v>0.0043215401</v>
      </c>
      <c r="V16" s="106" t="n">
        <v>0.0046331294</v>
      </c>
      <c r="W16" s="106" t="n">
        <v>0.0049449892</v>
      </c>
      <c r="X16" s="106" t="n">
        <v>0.0052568148</v>
      </c>
      <c r="Y16" s="106" t="n">
        <v>0.0055682868</v>
      </c>
      <c r="Z16" s="139" t="n"/>
      <c r="AA16" s="106" t="n">
        <v>0.0033510755</v>
      </c>
      <c r="AB16" s="106" t="n">
        <v>0.0036628811</v>
      </c>
      <c r="AC16" s="106" t="n">
        <v>0.0039773828</v>
      </c>
      <c r="AD16" s="106" t="n">
        <v>0.0042939301</v>
      </c>
      <c r="AE16" s="106" t="n">
        <v>0.0046120228</v>
      </c>
      <c r="AF16" s="106" t="n">
        <v>0.0049312668</v>
      </c>
      <c r="AG16" s="106" t="n">
        <v>0.0052513141</v>
      </c>
      <c r="AH16" s="141" t="n"/>
      <c r="AI16" s="106" t="n">
        <v>0.0030119117</v>
      </c>
      <c r="AJ16" s="106" t="n">
        <v>0.003321681</v>
      </c>
      <c r="AK16" s="106" t="n">
        <v>0.0036369456</v>
      </c>
      <c r="AL16" s="106" t="n">
        <v>0.0039566001</v>
      </c>
      <c r="AM16" s="106" t="n">
        <v>0.0042798043</v>
      </c>
      <c r="AN16" s="106" t="n">
        <v>0.0046059329</v>
      </c>
      <c r="AO16" s="106" t="n">
        <v>0.0049345241</v>
      </c>
      <c r="AP16" s="139" t="n"/>
      <c r="AQ16" s="106" t="n">
        <v>0.0027072628</v>
      </c>
      <c r="AR16" s="106" t="n">
        <v>0.0030102421</v>
      </c>
      <c r="AS16" s="106" t="n">
        <v>0.0033224855</v>
      </c>
      <c r="AT16" s="106" t="n">
        <v>0.0036424762</v>
      </c>
      <c r="AU16" s="106" t="n">
        <v>0.0039690095</v>
      </c>
      <c r="AV16" s="106" t="n">
        <v>0.0043011888</v>
      </c>
      <c r="AW16" s="106" t="n">
        <v>0.0046383703</v>
      </c>
      <c r="AX16" s="141" t="n"/>
      <c r="AY16" s="106" t="n">
        <v>0.0024589504</v>
      </c>
      <c r="AZ16" s="106" t="n">
        <v>0.0027517517</v>
      </c>
      <c r="BA16" s="106" t="n">
        <v>0.003057938</v>
      </c>
      <c r="BB16" s="106" t="n">
        <v>0.0033758697</v>
      </c>
      <c r="BC16" s="106" t="n">
        <v>0.003704142</v>
      </c>
      <c r="BD16" s="106" t="n">
        <v>0.0040416402</v>
      </c>
      <c r="BE16" s="106" t="n">
        <v>0.0043874655</v>
      </c>
    </row>
    <row r="17" ht="15.75" customHeight="1" s="104">
      <c r="A17" s="13" t="n"/>
      <c r="B17" s="112" t="inlineStr">
        <is>
          <t>H2 (mol/s)</t>
        </is>
      </c>
      <c r="C17" s="106" t="n">
        <v>0.0072793537</v>
      </c>
      <c r="D17" s="106" t="n">
        <v>0.0077527522</v>
      </c>
      <c r="E17" s="106" t="n">
        <v>0.0082350745</v>
      </c>
      <c r="F17" s="106" t="n">
        <v>0.0087266571</v>
      </c>
      <c r="G17" s="106" t="n">
        <v>0.0092279157</v>
      </c>
      <c r="H17" s="106" t="n">
        <v>0.0097393477</v>
      </c>
      <c r="I17" s="106" t="n">
        <v>0.010261541</v>
      </c>
      <c r="J17" s="139" t="n"/>
      <c r="K17" s="106" t="n">
        <v>0.007540161</v>
      </c>
      <c r="L17" s="106" t="n">
        <v>0.0080309748</v>
      </c>
      <c r="M17" s="106" t="n">
        <v>0.008530229699999999</v>
      </c>
      <c r="N17" s="106" t="n">
        <v>0.009038078999999999</v>
      </c>
      <c r="O17" s="106" t="n">
        <v>0.009554734800000001</v>
      </c>
      <c r="P17" s="106" t="n">
        <v>0.010080473</v>
      </c>
      <c r="Q17" s="106" t="n">
        <v>0.010615643</v>
      </c>
      <c r="R17" s="139" t="n"/>
      <c r="S17" s="106" t="n">
        <v>0.007779333</v>
      </c>
      <c r="T17" s="106" t="n">
        <v>0.0082851963</v>
      </c>
      <c r="U17" s="106" t="n">
        <v>0.008798861700000001</v>
      </c>
      <c r="V17" s="106" t="n">
        <v>0.0093204024</v>
      </c>
      <c r="W17" s="106" t="n">
        <v>0.009849903700000001</v>
      </c>
      <c r="X17" s="106" t="n">
        <v>0.010387487</v>
      </c>
      <c r="Y17" s="106" t="n">
        <v>0.010933366</v>
      </c>
      <c r="Z17" s="139" t="n"/>
      <c r="AA17" s="106" t="n">
        <v>0.0080017261</v>
      </c>
      <c r="AB17" s="106" t="n">
        <v>0.008521872</v>
      </c>
      <c r="AC17" s="106" t="n">
        <v>0.0090487234</v>
      </c>
      <c r="AD17" s="106" t="n">
        <v>0.0095823987</v>
      </c>
      <c r="AE17" s="106" t="n">
        <v>0.010122977</v>
      </c>
      <c r="AF17" s="106" t="n">
        <v>0.010670513</v>
      </c>
      <c r="AG17" s="106" t="n">
        <v>0.011225078</v>
      </c>
      <c r="AH17" s="141" t="n"/>
      <c r="AI17" s="106" t="n">
        <v>0.008203800799999999</v>
      </c>
      <c r="AJ17" s="106" t="n">
        <v>0.0087391042</v>
      </c>
      <c r="AK17" s="106" t="n">
        <v>0.009279356799999999</v>
      </c>
      <c r="AL17" s="106" t="n">
        <v>0.009824799299999999</v>
      </c>
      <c r="AM17" s="106" t="n">
        <v>0.010375586</v>
      </c>
      <c r="AN17" s="106" t="n">
        <v>0.010931792</v>
      </c>
      <c r="AO17" s="106" t="n">
        <v>0.011493437</v>
      </c>
      <c r="AP17" s="139" t="n"/>
      <c r="AQ17" s="106" t="n">
        <v>0.0083761293</v>
      </c>
      <c r="AR17" s="106" t="n">
        <v>0.008928065900000001</v>
      </c>
      <c r="AS17" s="106" t="n">
        <v>0.0094826449</v>
      </c>
      <c r="AT17" s="106" t="n">
        <v>0.010040151</v>
      </c>
      <c r="AU17" s="106" t="n">
        <v>0.010600784</v>
      </c>
      <c r="AV17" s="106" t="n">
        <v>0.011164627</v>
      </c>
      <c r="AW17" s="106" t="n">
        <v>0.011731661</v>
      </c>
      <c r="AX17" s="141" t="n"/>
      <c r="AY17" s="106" t="n">
        <v>0.008508913599999999</v>
      </c>
      <c r="AZ17" s="106" t="n">
        <v>0.0090779629</v>
      </c>
      <c r="BA17" s="106" t="n">
        <v>0.009647158899999999</v>
      </c>
      <c r="BB17" s="106" t="n">
        <v>0.010216615</v>
      </c>
      <c r="BC17" s="106" t="n">
        <v>0.010786431</v>
      </c>
      <c r="BD17" s="106" t="n">
        <v>0.011356624</v>
      </c>
      <c r="BE17" s="106" t="n">
        <v>0.011927167</v>
      </c>
    </row>
    <row r="18" ht="16.5" customHeight="1" s="104">
      <c r="A18" s="29" t="inlineStr">
        <is>
          <t>OUT</t>
        </is>
      </c>
      <c r="B18" s="30" t="inlineStr">
        <is>
          <t>OUT Molar Flow (mol/s) =</t>
        </is>
      </c>
      <c r="C18" s="132">
        <f>SUM(C12:C17)</f>
        <v/>
      </c>
      <c r="D18" s="132">
        <f>SUM(D12:D17)</f>
        <v/>
      </c>
      <c r="E18" s="132">
        <f>SUM(E12:E17)</f>
        <v/>
      </c>
      <c r="F18" s="132">
        <f>SUM(F12:F17)</f>
        <v/>
      </c>
      <c r="G18" s="132">
        <f>SUM(G12:G17)</f>
        <v/>
      </c>
      <c r="H18" s="132">
        <f>SUM(H12:H17)</f>
        <v/>
      </c>
      <c r="I18" s="132">
        <f>SUM(I12:I17)</f>
        <v/>
      </c>
      <c r="J18" s="132" t="n"/>
      <c r="K18" s="132">
        <f>SUM(K12:K17)</f>
        <v/>
      </c>
      <c r="L18" s="132">
        <f>SUM(L12:L17)</f>
        <v/>
      </c>
      <c r="M18" s="132">
        <f>SUM(M12:M17)</f>
        <v/>
      </c>
      <c r="N18" s="132">
        <f>SUM(N12:N17)</f>
        <v/>
      </c>
      <c r="O18" s="132">
        <f>SUM(O12:O17)</f>
        <v/>
      </c>
      <c r="P18" s="132">
        <f>SUM(P12:P17)</f>
        <v/>
      </c>
      <c r="Q18" s="132">
        <f>SUM(Q12:Q17)</f>
        <v/>
      </c>
      <c r="R18" s="132" t="n"/>
      <c r="S18" s="132">
        <f>SUM(S12:S17)</f>
        <v/>
      </c>
      <c r="T18" s="132">
        <f>SUM(T12:T17)</f>
        <v/>
      </c>
      <c r="U18" s="132">
        <f>SUM(U12:U17)</f>
        <v/>
      </c>
      <c r="V18" s="132">
        <f>SUM(V12:V17)</f>
        <v/>
      </c>
      <c r="W18" s="132">
        <f>SUM(W12:W17)</f>
        <v/>
      </c>
      <c r="X18" s="132">
        <f>SUM(X12:X17)</f>
        <v/>
      </c>
      <c r="Y18" s="132">
        <f>SUM(Y12:Y17)</f>
        <v/>
      </c>
      <c r="Z18" s="132" t="n"/>
      <c r="AA18" s="132">
        <f>SUM(AA12:AA17)</f>
        <v/>
      </c>
      <c r="AB18" s="132">
        <f>SUM(AB12:AB17)</f>
        <v/>
      </c>
      <c r="AC18" s="132">
        <f>SUM(AC12:AC17)</f>
        <v/>
      </c>
      <c r="AD18" s="132">
        <f>SUM(AD12:AD17)</f>
        <v/>
      </c>
      <c r="AE18" s="132">
        <f>SUM(AE12:AE17)</f>
        <v/>
      </c>
      <c r="AF18" s="132">
        <f>SUM(AF12:AF17)</f>
        <v/>
      </c>
      <c r="AG18" s="132">
        <f>SUM(AG12:AG17)</f>
        <v/>
      </c>
      <c r="AH18" s="150" t="n"/>
      <c r="AI18" s="132">
        <f>SUM(AI12:AI17)</f>
        <v/>
      </c>
      <c r="AJ18" s="132">
        <f>SUM(AJ12:AJ17)</f>
        <v/>
      </c>
      <c r="AK18" s="132">
        <f>SUM(AK12:AK17)</f>
        <v/>
      </c>
      <c r="AL18" s="132">
        <f>SUM(AL12:AL17)</f>
        <v/>
      </c>
      <c r="AM18" s="132">
        <f>SUM(AM12:AM17)</f>
        <v/>
      </c>
      <c r="AN18" s="132">
        <f>SUM(AN12:AN17)</f>
        <v/>
      </c>
      <c r="AO18" s="132">
        <f>SUM(AO12:AO17)</f>
        <v/>
      </c>
      <c r="AP18" s="132" t="n"/>
      <c r="AQ18" s="132">
        <f>SUM(AQ12:AQ17)</f>
        <v/>
      </c>
      <c r="AR18" s="132">
        <f>SUM(AR12:AR17)</f>
        <v/>
      </c>
      <c r="AS18" s="132">
        <f>SUM(AS12:AS17)</f>
        <v/>
      </c>
      <c r="AT18" s="132">
        <f>SUM(AT12:AT17)</f>
        <v/>
      </c>
      <c r="AU18" s="132">
        <f>SUM(AU12:AU17)</f>
        <v/>
      </c>
      <c r="AV18" s="132">
        <f>SUM(AV12:AV17)</f>
        <v/>
      </c>
      <c r="AW18" s="132">
        <f>SUM(AW12:AW17)</f>
        <v/>
      </c>
      <c r="AX18" s="150" t="n"/>
      <c r="AY18" s="132">
        <f>SUM(AY12:AY17)</f>
        <v/>
      </c>
      <c r="AZ18" s="132">
        <f>SUM(AZ12:AZ17)</f>
        <v/>
      </c>
      <c r="BA18" s="132">
        <f>SUM(BA12:BA17)</f>
        <v/>
      </c>
      <c r="BB18" s="132">
        <f>SUM(BB12:BB17)</f>
        <v/>
      </c>
      <c r="BC18" s="132">
        <f>SUM(BC12:BC17)</f>
        <v/>
      </c>
      <c r="BD18" s="132">
        <f>SUM(BD12:BD17)</f>
        <v/>
      </c>
      <c r="BE18" s="132">
        <f>SUM(BE12:BE17)</f>
        <v/>
      </c>
    </row>
    <row r="19">
      <c r="C19" s="146" t="n"/>
      <c r="D19" s="146" t="n"/>
      <c r="E19" s="146" t="n"/>
      <c r="F19" s="146" t="n"/>
      <c r="G19" s="146" t="n"/>
      <c r="H19" s="146" t="n"/>
      <c r="I19" s="146" t="n"/>
      <c r="J19" s="146" t="n"/>
      <c r="K19" s="146" t="n"/>
      <c r="L19" s="146" t="n"/>
      <c r="M19" s="146" t="n"/>
      <c r="N19" s="146" t="n"/>
      <c r="O19" s="146" t="n"/>
      <c r="P19" s="146" t="n"/>
      <c r="Q19" s="146" t="n"/>
      <c r="R19" s="146" t="n"/>
      <c r="S19" s="146" t="n"/>
      <c r="T19" s="146" t="n"/>
      <c r="U19" s="146" t="n"/>
      <c r="V19" s="146" t="n"/>
      <c r="W19" s="146" t="n"/>
      <c r="X19" s="146" t="n"/>
      <c r="Y19" s="146" t="n"/>
      <c r="Z19" s="146" t="n"/>
      <c r="AA19" s="146" t="n"/>
      <c r="AB19" s="146" t="n"/>
      <c r="AC19" s="146" t="n"/>
      <c r="AD19" s="146" t="n"/>
      <c r="AE19" s="146" t="n"/>
      <c r="AF19" s="146" t="n"/>
      <c r="AG19" s="146" t="n"/>
      <c r="AH19" s="141" t="n"/>
      <c r="AI19" s="146" t="n"/>
      <c r="AJ19" s="146" t="n"/>
      <c r="AK19" s="146" t="n"/>
      <c r="AL19" s="146" t="n"/>
      <c r="AM19" s="146" t="n"/>
      <c r="AN19" s="146" t="n"/>
      <c r="AO19" s="146" t="n"/>
      <c r="AP19" s="146" t="n"/>
      <c r="AQ19" s="146" t="n"/>
      <c r="AR19" s="146" t="n"/>
      <c r="AS19" s="146" t="n"/>
      <c r="AT19" s="146" t="n"/>
      <c r="AU19" s="146" t="n"/>
      <c r="AV19" s="146" t="n"/>
      <c r="AW19" s="146" t="n"/>
      <c r="AX19" s="141" t="n"/>
      <c r="AY19" s="146" t="n"/>
      <c r="AZ19" s="146" t="n"/>
      <c r="BA19" s="146" t="n"/>
      <c r="BB19" s="146" t="n"/>
      <c r="BC19" s="146" t="n"/>
      <c r="BD19" s="146" t="n"/>
      <c r="BE19" s="146" t="n"/>
    </row>
    <row r="20">
      <c r="A20" s="11" t="inlineStr">
        <is>
          <t>P</t>
        </is>
      </c>
      <c r="B20" t="inlineStr">
        <is>
          <t>Reaction Coordinate  DRM (mol/s)</t>
        </is>
      </c>
      <c r="C20" s="61" t="n">
        <v>2.35605e-06</v>
      </c>
      <c r="D20" s="61" t="n">
        <v>2.46188e-06</v>
      </c>
      <c r="E20" s="61" t="n">
        <v>2.5667e-06</v>
      </c>
      <c r="F20" s="61" t="n">
        <v>2.67066e-06</v>
      </c>
      <c r="G20" s="61" t="n">
        <v>2.77399e-06</v>
      </c>
      <c r="H20" s="61" t="n">
        <v>2.87698e-06</v>
      </c>
      <c r="I20" s="61" t="n">
        <v>2.98008e-06</v>
      </c>
      <c r="J20" s="151" t="n"/>
      <c r="K20" s="61" t="n">
        <v>2.40789e-06</v>
      </c>
      <c r="L20" s="61" t="n">
        <v>2.52029e-06</v>
      </c>
      <c r="M20" s="61" t="n">
        <v>2.63203e-06</v>
      </c>
      <c r="N20" s="61" t="n">
        <v>2.74322e-06</v>
      </c>
      <c r="O20" s="61" t="n">
        <v>2.85406e-06</v>
      </c>
      <c r="P20" s="61" t="n">
        <v>2.96477e-06</v>
      </c>
      <c r="Q20" s="61" t="n">
        <v>3.07566e-06</v>
      </c>
      <c r="R20" s="151" t="n"/>
      <c r="S20" s="61" t="n">
        <v>2.44038e-06</v>
      </c>
      <c r="T20" s="61" t="n">
        <v>2.55704e-06</v>
      </c>
      <c r="U20" s="61" t="n">
        <v>2.67328e-06</v>
      </c>
      <c r="V20" s="61" t="n">
        <v>2.78919e-06</v>
      </c>
      <c r="W20" s="61" t="n">
        <v>2.90491e-06</v>
      </c>
      <c r="X20" s="61" t="n">
        <v>3.0206e-06</v>
      </c>
      <c r="Y20" s="61" t="n">
        <v>3.13649e-06</v>
      </c>
      <c r="Z20" s="151" t="n"/>
      <c r="AA20" s="61" t="n">
        <v>2.46103e-06</v>
      </c>
      <c r="AB20" s="61" t="n">
        <v>2.58044e-06</v>
      </c>
      <c r="AC20" s="61" t="n">
        <v>2.69959e-06</v>
      </c>
      <c r="AD20" s="61" t="n">
        <v>2.81855e-06</v>
      </c>
      <c r="AE20" s="61" t="n">
        <v>2.93742e-06</v>
      </c>
      <c r="AF20" s="61" t="n">
        <v>3.05633e-06</v>
      </c>
      <c r="AG20" s="61" t="n">
        <v>3.17544e-06</v>
      </c>
      <c r="AH20" s="152" t="n"/>
      <c r="AI20" s="61" t="n">
        <v>2.47456e-06</v>
      </c>
      <c r="AJ20" s="61" t="n">
        <v>2.59576e-06</v>
      </c>
      <c r="AK20" s="61" t="n">
        <v>2.71681e-06</v>
      </c>
      <c r="AL20" s="61" t="n">
        <v>2.83777e-06</v>
      </c>
      <c r="AM20" s="61" t="n">
        <v>2.95871e-06</v>
      </c>
      <c r="AN20" s="61" t="n">
        <v>3.07972e-06</v>
      </c>
      <c r="AO20" s="61" t="n">
        <v>3.20092e-06</v>
      </c>
      <c r="AP20" s="151" t="n"/>
      <c r="AQ20" s="61" t="n">
        <v>2.4837e-06</v>
      </c>
      <c r="AR20" s="61" t="n">
        <v>2.60613e-06</v>
      </c>
      <c r="AS20" s="61" t="n">
        <v>2.72847e-06</v>
      </c>
      <c r="AT20" s="61" t="n">
        <v>2.85077e-06</v>
      </c>
      <c r="AU20" s="61" t="n">
        <v>2.9731e-06</v>
      </c>
      <c r="AV20" s="61" t="n">
        <v>3.09552e-06</v>
      </c>
      <c r="AW20" s="61" t="n">
        <v>3.21811e-06</v>
      </c>
      <c r="AX20" s="152" t="n"/>
      <c r="AY20" s="61" t="n">
        <v>2.48995e-06</v>
      </c>
      <c r="AZ20" s="61" t="n">
        <v>2.61325e-06</v>
      </c>
      <c r="BA20" s="61" t="n">
        <v>2.73651e-06</v>
      </c>
      <c r="BB20" s="61" t="n">
        <v>2.85976e-06</v>
      </c>
      <c r="BC20" s="61" t="n">
        <v>2.98304e-06</v>
      </c>
      <c r="BD20" s="61" t="n">
        <v>3.10641e-06</v>
      </c>
      <c r="BE20" s="61" t="n">
        <v>3.22993e-06</v>
      </c>
    </row>
    <row r="21">
      <c r="A21" s="13" t="n"/>
      <c r="B21" s="110" t="inlineStr">
        <is>
          <t xml:space="preserve">CH₄ + CO₂ ⇌ 2CO + 2H₂ </t>
        </is>
      </c>
      <c r="C21" s="141" t="n"/>
      <c r="D21" s="141" t="n"/>
      <c r="E21" s="141" t="n"/>
      <c r="F21" s="141" t="n"/>
      <c r="G21" s="141" t="n"/>
      <c r="H21" s="141" t="n"/>
      <c r="I21" s="141" t="n"/>
      <c r="J21" s="141" t="n"/>
      <c r="K21" s="141" t="n"/>
      <c r="L21" s="141" t="n"/>
      <c r="M21" s="141" t="n"/>
      <c r="N21" s="141" t="n"/>
      <c r="O21" s="141" t="n"/>
      <c r="P21" s="141" t="n"/>
      <c r="Q21" s="141" t="n"/>
      <c r="R21" s="141" t="n"/>
      <c r="S21" s="141" t="n"/>
      <c r="T21" s="141" t="n"/>
      <c r="U21" s="141" t="n"/>
      <c r="V21" s="141" t="n"/>
      <c r="W21" s="141" t="n"/>
      <c r="X21" s="141" t="n"/>
      <c r="Y21" s="141" t="n"/>
      <c r="Z21" s="141" t="n"/>
      <c r="AA21" s="141" t="n"/>
      <c r="AB21" s="141" t="n"/>
      <c r="AC21" s="141" t="n"/>
      <c r="AD21" s="141" t="n"/>
      <c r="AE21" s="141" t="n"/>
      <c r="AF21" s="141" t="n"/>
      <c r="AG21" s="141" t="n"/>
      <c r="AH21" s="141" t="n"/>
      <c r="AI21" s="141" t="n"/>
      <c r="AJ21" s="141" t="n"/>
      <c r="AK21" s="141" t="n"/>
      <c r="AL21" s="141" t="n"/>
      <c r="AM21" s="141" t="n"/>
      <c r="AN21" s="141" t="n"/>
      <c r="AO21" s="141" t="n"/>
      <c r="AP21" s="141" t="n"/>
      <c r="AQ21" s="141" t="n"/>
      <c r="AR21" s="141" t="n"/>
      <c r="AS21" s="141" t="n"/>
      <c r="AT21" s="141" t="n"/>
      <c r="AU21" s="141" t="n"/>
      <c r="AV21" s="141" t="n"/>
      <c r="AW21" s="141" t="n"/>
      <c r="AX21" s="141" t="n"/>
      <c r="AY21" s="141" t="n"/>
      <c r="AZ21" s="141" t="n"/>
      <c r="BA21" s="141" t="n"/>
      <c r="BB21" s="141" t="n"/>
      <c r="BC21" s="141" t="n"/>
      <c r="BD21" s="141" t="n"/>
      <c r="BE21" s="141" t="n"/>
    </row>
    <row r="22">
      <c r="A22" s="13" t="inlineStr">
        <is>
          <t>R</t>
        </is>
      </c>
      <c r="C22" s="141" t="n"/>
      <c r="D22" s="141" t="n"/>
      <c r="E22" s="141" t="n"/>
      <c r="F22" s="141" t="n"/>
      <c r="G22" s="141" t="n"/>
      <c r="H22" s="141" t="n"/>
      <c r="I22" s="141" t="n"/>
      <c r="J22" s="141" t="n"/>
      <c r="K22" s="141" t="n"/>
      <c r="L22" s="141" t="n"/>
      <c r="M22" s="141" t="n"/>
      <c r="N22" s="141" t="n"/>
      <c r="O22" s="141" t="n"/>
      <c r="P22" s="141" t="n"/>
      <c r="Q22" s="141" t="n"/>
      <c r="R22" s="141" t="n"/>
      <c r="S22" s="141" t="n"/>
      <c r="T22" s="141" t="n"/>
      <c r="U22" s="141" t="n"/>
      <c r="V22" s="141" t="n"/>
      <c r="W22" s="141" t="n"/>
      <c r="X22" s="141" t="n"/>
      <c r="Y22" s="141" t="n"/>
      <c r="Z22" s="141" t="n"/>
      <c r="AA22" s="141" t="n"/>
      <c r="AB22" s="141" t="n"/>
      <c r="AC22" s="141" t="n"/>
      <c r="AD22" s="141" t="n"/>
      <c r="AE22" s="141" t="n"/>
      <c r="AF22" s="141" t="n"/>
      <c r="AG22" s="141" t="n"/>
      <c r="AH22" s="141" t="n"/>
      <c r="AI22" s="141" t="n"/>
      <c r="AJ22" s="141" t="n"/>
      <c r="AK22" s="141" t="n"/>
      <c r="AL22" s="141" t="n"/>
      <c r="AM22" s="141" t="n"/>
      <c r="AN22" s="141" t="n"/>
      <c r="AO22" s="141" t="n"/>
      <c r="AP22" s="141" t="n"/>
      <c r="AQ22" s="141" t="n"/>
      <c r="AR22" s="141" t="n"/>
      <c r="AS22" s="141" t="n"/>
      <c r="AT22" s="141" t="n"/>
      <c r="AU22" s="141" t="n"/>
      <c r="AV22" s="141" t="n"/>
      <c r="AW22" s="141" t="n"/>
      <c r="AX22" s="141" t="n"/>
      <c r="AY22" s="141" t="n"/>
      <c r="AZ22" s="141" t="n"/>
      <c r="BA22" s="141" t="n"/>
      <c r="BB22" s="141" t="n"/>
      <c r="BC22" s="141" t="n"/>
      <c r="BD22" s="141" t="n"/>
      <c r="BE22" s="141" t="n"/>
    </row>
    <row r="23">
      <c r="A23" s="13" t="n"/>
      <c r="B23" t="inlineStr">
        <is>
          <t>Reaction Coordinate RWGS (mol/s)</t>
        </is>
      </c>
      <c r="C23" s="61" t="n">
        <v>3.02103e-06</v>
      </c>
      <c r="D23" s="61" t="n">
        <v>2.95782e-06</v>
      </c>
      <c r="E23" s="61" t="n">
        <v>2.88547e-06</v>
      </c>
      <c r="F23" s="61" t="n">
        <v>2.80414e-06</v>
      </c>
      <c r="G23" s="61" t="n">
        <v>2.7139e-06</v>
      </c>
      <c r="H23" s="61" t="n">
        <v>2.61482e-06</v>
      </c>
      <c r="I23" s="61" t="n">
        <v>2.50691e-06</v>
      </c>
      <c r="J23" s="151" t="n"/>
      <c r="K23" s="61" t="n">
        <v>3.18922e-06</v>
      </c>
      <c r="L23" s="61" t="n">
        <v>3.11474e-06</v>
      </c>
      <c r="M23" s="61" t="n">
        <v>3.0308e-06</v>
      </c>
      <c r="N23" s="61" t="n">
        <v>2.93762e-06</v>
      </c>
      <c r="O23" s="61" t="n">
        <v>2.83539e-06</v>
      </c>
      <c r="P23" s="61" t="n">
        <v>2.72426e-06</v>
      </c>
      <c r="Q23" s="61" t="n">
        <v>2.60435e-06</v>
      </c>
      <c r="R23" s="151" t="n"/>
      <c r="S23" s="61" t="n">
        <v>3.36311e-06</v>
      </c>
      <c r="T23" s="61" t="n">
        <v>3.27731e-06</v>
      </c>
      <c r="U23" s="61" t="n">
        <v>3.18174e-06</v>
      </c>
      <c r="V23" s="61" t="n">
        <v>3.07673e-06</v>
      </c>
      <c r="W23" s="61" t="n">
        <v>2.96258e-06</v>
      </c>
      <c r="X23" s="61" t="n">
        <v>2.83952e-06</v>
      </c>
      <c r="Y23" s="61" t="n">
        <v>2.70776e-06</v>
      </c>
      <c r="Z23" s="151" t="n"/>
      <c r="AA23" s="61" t="n">
        <v>3.53892e-06</v>
      </c>
      <c r="AB23" s="61" t="n">
        <v>3.44225e-06</v>
      </c>
      <c r="AC23" s="61" t="n">
        <v>3.33532e-06</v>
      </c>
      <c r="AD23" s="61" t="n">
        <v>3.21866e-06</v>
      </c>
      <c r="AE23" s="61" t="n">
        <v>3.09271e-06</v>
      </c>
      <c r="AF23" s="61" t="n">
        <v>2.95785e-06</v>
      </c>
      <c r="AG23" s="61" t="n">
        <v>2.81437e-06</v>
      </c>
      <c r="AH23" s="152" t="n"/>
      <c r="AI23" s="61" t="n">
        <v>3.70964e-06</v>
      </c>
      <c r="AJ23" s="61" t="n">
        <v>3.60355e-06</v>
      </c>
      <c r="AK23" s="61" t="n">
        <v>3.48628e-06</v>
      </c>
      <c r="AL23" s="61" t="n">
        <v>3.3587e-06</v>
      </c>
      <c r="AM23" s="61" t="n">
        <v>3.22149e-06</v>
      </c>
      <c r="AN23" s="61" t="n">
        <v>3.07522e-06</v>
      </c>
      <c r="AO23" s="61" t="n">
        <v>2.92033e-06</v>
      </c>
      <c r="AP23" s="151" t="n"/>
      <c r="AQ23" s="61" t="n">
        <v>3.86553e-06</v>
      </c>
      <c r="AR23" s="61" t="n">
        <v>3.75232e-06</v>
      </c>
      <c r="AS23" s="61" t="n">
        <v>3.62658e-06</v>
      </c>
      <c r="AT23" s="61" t="n">
        <v>3.48953e-06</v>
      </c>
      <c r="AU23" s="61" t="n">
        <v>3.34218e-06</v>
      </c>
      <c r="AV23" s="61" t="n">
        <v>3.18533e-06</v>
      </c>
      <c r="AW23" s="61" t="n">
        <v>3.01964e-06</v>
      </c>
      <c r="AX23" s="152" t="n"/>
      <c r="AY23" s="61" t="n">
        <v>3.99756e-06</v>
      </c>
      <c r="AZ23" s="61" t="n">
        <v>3.8795e-06</v>
      </c>
      <c r="BA23" s="61" t="n">
        <v>3.74735e-06</v>
      </c>
      <c r="BB23" s="61" t="n">
        <v>3.60263e-06</v>
      </c>
      <c r="BC23" s="61" t="n">
        <v>3.44663e-06</v>
      </c>
      <c r="BD23" s="61" t="n">
        <v>3.28045e-06</v>
      </c>
      <c r="BE23" s="61" t="n">
        <v>3.105e-06</v>
      </c>
    </row>
    <row r="24">
      <c r="A24" s="13" t="inlineStr">
        <is>
          <t>F</t>
        </is>
      </c>
      <c r="B24" s="110" t="inlineStr">
        <is>
          <t xml:space="preserve">CO₂ + H₂ ⇌ CO + H₂O </t>
        </is>
      </c>
      <c r="C24" s="141" t="n"/>
      <c r="D24" s="141" t="n"/>
      <c r="E24" s="141" t="n"/>
      <c r="F24" s="141" t="n"/>
      <c r="G24" s="141" t="n"/>
      <c r="H24" s="141" t="n"/>
      <c r="I24" s="141" t="n"/>
      <c r="J24" s="141" t="n"/>
      <c r="K24" s="141" t="n"/>
      <c r="L24" s="141" t="n"/>
      <c r="M24" s="141" t="n"/>
      <c r="N24" s="141" t="n"/>
      <c r="O24" s="141" t="n"/>
      <c r="P24" s="141" t="n"/>
      <c r="Q24" s="141" t="n"/>
      <c r="R24" s="141" t="n"/>
      <c r="S24" s="141" t="n"/>
      <c r="T24" s="141" t="n"/>
      <c r="U24" s="141" t="n"/>
      <c r="V24" s="141" t="n"/>
      <c r="W24" s="141" t="n"/>
      <c r="X24" s="141" t="n"/>
      <c r="Y24" s="141" t="n"/>
      <c r="Z24" s="141" t="n"/>
      <c r="AA24" s="141" t="n"/>
      <c r="AB24" s="141" t="n"/>
      <c r="AC24" s="141" t="n"/>
      <c r="AD24" s="141" t="n"/>
      <c r="AE24" s="141" t="n"/>
      <c r="AF24" s="141" t="n"/>
      <c r="AG24" s="141" t="n"/>
      <c r="AH24" s="141" t="n"/>
      <c r="AI24" s="141" t="n"/>
      <c r="AJ24" s="141" t="n"/>
      <c r="AK24" s="141" t="n"/>
      <c r="AL24" s="141" t="n"/>
      <c r="AM24" s="141" t="n"/>
      <c r="AN24" s="141" t="n"/>
      <c r="AO24" s="141" t="n"/>
      <c r="AP24" s="141" t="n"/>
      <c r="AQ24" s="141" t="n"/>
      <c r="AR24" s="141" t="n"/>
      <c r="AS24" s="141" t="n"/>
      <c r="AT24" s="141" t="n"/>
      <c r="AU24" s="141" t="n"/>
      <c r="AV24" s="141" t="n"/>
      <c r="AW24" s="141" t="n"/>
      <c r="AX24" s="141" t="n"/>
      <c r="AY24" s="141" t="n"/>
      <c r="AZ24" s="141" t="n"/>
      <c r="BA24" s="141" t="n"/>
      <c r="BB24" s="141" t="n"/>
      <c r="BC24" s="141" t="n"/>
      <c r="BD24" s="141" t="n"/>
      <c r="BE24" s="141" t="n"/>
    </row>
    <row r="25">
      <c r="A25" s="13" t="n"/>
      <c r="C25" s="141" t="n"/>
      <c r="D25" s="141" t="n"/>
      <c r="E25" s="141" t="n"/>
      <c r="F25" s="139" t="n"/>
      <c r="G25" s="139" t="n"/>
      <c r="H25" s="139" t="n"/>
      <c r="I25" s="139" t="n"/>
      <c r="J25" s="139" t="n"/>
      <c r="K25" s="141" t="n"/>
      <c r="L25" s="141" t="n"/>
      <c r="M25" s="141" t="n"/>
      <c r="N25" s="139" t="n"/>
      <c r="O25" s="139" t="n"/>
      <c r="P25" s="139" t="n"/>
      <c r="Q25" s="139" t="n"/>
      <c r="R25" s="139" t="n"/>
      <c r="S25" s="141" t="n"/>
      <c r="T25" s="141" t="n"/>
      <c r="U25" s="141" t="n"/>
      <c r="V25" s="139" t="n"/>
      <c r="W25" s="139" t="n"/>
      <c r="X25" s="139" t="n"/>
      <c r="Y25" s="139" t="n"/>
      <c r="Z25" s="141" t="n"/>
      <c r="AA25" s="141" t="n"/>
      <c r="AB25" s="141" t="n"/>
      <c r="AC25" s="141" t="n"/>
      <c r="AD25" s="139" t="n"/>
      <c r="AE25" s="139" t="n"/>
      <c r="AF25" s="139" t="n"/>
      <c r="AG25" s="139" t="n"/>
      <c r="AH25" s="141" t="n"/>
      <c r="AI25" s="141" t="n"/>
      <c r="AJ25" s="141" t="n"/>
      <c r="AK25" s="141" t="n"/>
      <c r="AL25" s="139" t="n"/>
      <c r="AM25" s="139" t="n"/>
      <c r="AN25" s="139" t="n"/>
      <c r="AO25" s="139" t="n"/>
      <c r="AP25" s="141" t="n"/>
      <c r="AQ25" s="141" t="n"/>
      <c r="AR25" s="141" t="n"/>
      <c r="AS25" s="141" t="n"/>
      <c r="AT25" s="139" t="n"/>
      <c r="AU25" s="139" t="n"/>
      <c r="AV25" s="139" t="n"/>
      <c r="AW25" s="139" t="n"/>
      <c r="AX25" s="141" t="n"/>
      <c r="AY25" s="141" t="n"/>
      <c r="AZ25" s="141" t="n"/>
      <c r="BA25" s="141" t="n"/>
      <c r="BB25" s="139" t="n"/>
      <c r="BC25" s="139" t="n"/>
      <c r="BD25" s="139" t="n"/>
      <c r="BE25" s="139" t="n"/>
    </row>
    <row r="26">
      <c r="A26" s="13" t="n"/>
      <c r="B26" t="inlineStr">
        <is>
          <t>Reaction Coordinate DM (mol/s)</t>
        </is>
      </c>
      <c r="C26" s="61" t="n">
        <v>2.53132e-06</v>
      </c>
      <c r="D26" s="61" t="n">
        <v>2.663e-06</v>
      </c>
      <c r="E26" s="61" t="n">
        <v>2.7953e-06</v>
      </c>
      <c r="F26" s="61" t="n">
        <v>2.9281e-06</v>
      </c>
      <c r="G26" s="61" t="n">
        <v>3.06126e-06</v>
      </c>
      <c r="H26" s="61" t="n">
        <v>3.1945e-06</v>
      </c>
      <c r="I26" s="61" t="n">
        <v>3.32747e-06</v>
      </c>
      <c r="J26" s="151" t="n"/>
      <c r="K26" s="61" t="n">
        <v>2.51566e-06</v>
      </c>
      <c r="L26" s="61" t="n">
        <v>2.64419e-06</v>
      </c>
      <c r="M26" s="61" t="n">
        <v>2.77301e-06</v>
      </c>
      <c r="N26" s="61" t="n">
        <v>2.90202e-06</v>
      </c>
      <c r="O26" s="61" t="n">
        <v>3.03107e-06</v>
      </c>
      <c r="P26" s="61" t="n">
        <v>3.15998e-06</v>
      </c>
      <c r="Q26" s="61" t="n">
        <v>3.28845e-06</v>
      </c>
      <c r="R26" s="151" t="n"/>
      <c r="S26" s="61" t="n">
        <v>2.50727e-06</v>
      </c>
      <c r="T26" s="61" t="n">
        <v>2.63397e-06</v>
      </c>
      <c r="U26" s="61" t="n">
        <v>2.76077e-06</v>
      </c>
      <c r="V26" s="61" t="n">
        <v>2.88756e-06</v>
      </c>
      <c r="W26" s="61" t="n">
        <v>3.01425e-06</v>
      </c>
      <c r="X26" s="61" t="n">
        <v>3.14067e-06</v>
      </c>
      <c r="Y26" s="61" t="n">
        <v>3.26664e-06</v>
      </c>
      <c r="Z26" s="151" t="n"/>
      <c r="AA26" s="61" t="n">
        <v>2.50287e-06</v>
      </c>
      <c r="AB26" s="61" t="n">
        <v>2.62856e-06</v>
      </c>
      <c r="AC26" s="61" t="n">
        <v>2.75422e-06</v>
      </c>
      <c r="AD26" s="61" t="n">
        <v>2.87978e-06</v>
      </c>
      <c r="AE26" s="61" t="n">
        <v>3.00515e-06</v>
      </c>
      <c r="AF26" s="61" t="n">
        <v>3.13021e-06</v>
      </c>
      <c r="AG26" s="61" t="n">
        <v>3.25481e-06</v>
      </c>
      <c r="AH26" s="152" t="n"/>
      <c r="AI26" s="61" t="n">
        <v>2.50056e-06</v>
      </c>
      <c r="AJ26" s="61" t="n">
        <v>2.62568e-06</v>
      </c>
      <c r="AK26" s="61" t="n">
        <v>2.75071e-06</v>
      </c>
      <c r="AL26" s="61" t="n">
        <v>2.8756e-06</v>
      </c>
      <c r="AM26" s="61" t="n">
        <v>3.00025e-06</v>
      </c>
      <c r="AN26" s="61" t="n">
        <v>3.12459e-06</v>
      </c>
      <c r="AO26" s="61" t="n">
        <v>3.24851e-06</v>
      </c>
      <c r="AP26" s="151" t="n"/>
      <c r="AQ26" s="61" t="n">
        <v>2.49927e-06</v>
      </c>
      <c r="AR26" s="61" t="n">
        <v>2.62408e-06</v>
      </c>
      <c r="AS26" s="61" t="n">
        <v>2.74877e-06</v>
      </c>
      <c r="AT26" s="61" t="n">
        <v>2.87328e-06</v>
      </c>
      <c r="AU26" s="61" t="n">
        <v>2.99756e-06</v>
      </c>
      <c r="AV26" s="61" t="n">
        <v>3.12153e-06</v>
      </c>
      <c r="AW26" s="61" t="n">
        <v>3.24511e-06</v>
      </c>
      <c r="AX26" s="152" t="n"/>
      <c r="AY26" s="61" t="n">
        <v>2.49852e-06</v>
      </c>
      <c r="AZ26" s="61" t="n">
        <v>2.62315e-06</v>
      </c>
      <c r="BA26" s="61" t="n">
        <v>2.74764e-06</v>
      </c>
      <c r="BB26" s="61" t="n">
        <v>2.87195e-06</v>
      </c>
      <c r="BC26" s="61" t="n">
        <v>2.99603e-06</v>
      </c>
      <c r="BD26" s="61" t="n">
        <v>3.11982e-06</v>
      </c>
      <c r="BE26" s="61" t="n">
        <v>3.24328e-06</v>
      </c>
    </row>
    <row r="27">
      <c r="A27" s="13" t="inlineStr">
        <is>
          <t>-</t>
        </is>
      </c>
      <c r="B27" s="110" t="inlineStr">
        <is>
          <t xml:space="preserve">CH₄ ⇌ C(s) + 2H₂ </t>
        </is>
      </c>
    </row>
    <row r="28">
      <c r="A28" s="19" t="n"/>
    </row>
    <row r="29" ht="15.75" customHeight="1" s="104">
      <c r="A29" s="13" t="n">
        <v>1</v>
      </c>
      <c r="B29" s="112" t="inlineStr">
        <is>
          <t>Convertion CH4 (%)</t>
        </is>
      </c>
      <c r="C29" s="106" t="n">
        <v>97.7475</v>
      </c>
      <c r="D29" s="106" t="n">
        <v>97.6169</v>
      </c>
      <c r="E29" s="106" t="n">
        <v>97.4909</v>
      </c>
      <c r="F29" s="106" t="n">
        <v>97.3698</v>
      </c>
      <c r="G29" s="106" t="n">
        <v>97.254</v>
      </c>
      <c r="H29" s="106" t="n">
        <v>97.1437</v>
      </c>
      <c r="I29" s="106" t="n">
        <v>97.03919999999999</v>
      </c>
      <c r="J29" s="110" t="n"/>
      <c r="K29" s="106" t="n">
        <v>98.47110000000001</v>
      </c>
      <c r="L29" s="106" t="n">
        <v>98.3711</v>
      </c>
      <c r="M29" s="106" t="n">
        <v>98.2734</v>
      </c>
      <c r="N29" s="106" t="n">
        <v>98.1781</v>
      </c>
      <c r="O29" s="106" t="n">
        <v>98.0855</v>
      </c>
      <c r="P29" s="106" t="n">
        <v>97.99590000000001</v>
      </c>
      <c r="Q29" s="106" t="n">
        <v>97.90940000000001</v>
      </c>
      <c r="R29" s="110" t="n"/>
      <c r="S29" s="106" t="n">
        <v>98.9529</v>
      </c>
      <c r="T29" s="106" t="n">
        <v>98.87649999999999</v>
      </c>
      <c r="U29" s="106" t="n">
        <v>98.8009</v>
      </c>
      <c r="V29" s="106" t="n">
        <v>98.72620000000001</v>
      </c>
      <c r="W29" s="106" t="n">
        <v>98.65260000000001</v>
      </c>
      <c r="X29" s="106" t="n">
        <v>98.5804</v>
      </c>
      <c r="Y29" s="106" t="n">
        <v>98.5098</v>
      </c>
      <c r="Z29" s="33" t="n"/>
      <c r="AA29" s="106" t="n">
        <v>99.2782</v>
      </c>
      <c r="AB29" s="106" t="n">
        <v>99.2191</v>
      </c>
      <c r="AC29" s="106" t="n">
        <v>99.1601</v>
      </c>
      <c r="AD29" s="106" t="n">
        <v>99.1014</v>
      </c>
      <c r="AE29" s="106" t="n">
        <v>99.0428</v>
      </c>
      <c r="AF29" s="106" t="n">
        <v>98.9847</v>
      </c>
      <c r="AG29" s="106" t="n">
        <v>98.92700000000001</v>
      </c>
      <c r="AH29" s="34" t="n"/>
      <c r="AI29" s="106" t="n">
        <v>99.50239999999999</v>
      </c>
      <c r="AJ29" s="106" t="n">
        <v>99.45610000000001</v>
      </c>
      <c r="AK29" s="106" t="n">
        <v>99.4096</v>
      </c>
      <c r="AL29" s="106" t="n">
        <v>99.3629</v>
      </c>
      <c r="AM29" s="106" t="n">
        <v>99.316</v>
      </c>
      <c r="AN29" s="106" t="n">
        <v>99.26900000000001</v>
      </c>
      <c r="AO29" s="106" t="n">
        <v>99.22199999999999</v>
      </c>
      <c r="AP29" s="33" t="n"/>
      <c r="AQ29" s="106" t="n">
        <v>99.65949999999999</v>
      </c>
      <c r="AR29" s="106" t="n">
        <v>99.623</v>
      </c>
      <c r="AS29" s="106" t="n">
        <v>99.5861</v>
      </c>
      <c r="AT29" s="106" t="n">
        <v>99.5487</v>
      </c>
      <c r="AU29" s="106" t="n">
        <v>99.511</v>
      </c>
      <c r="AV29" s="106" t="n">
        <v>99.47280000000001</v>
      </c>
      <c r="AW29" s="106" t="n">
        <v>99.4342</v>
      </c>
      <c r="AX29" s="34" t="n"/>
      <c r="AY29" s="106" t="n">
        <v>99.76949999999999</v>
      </c>
      <c r="AZ29" s="106" t="n">
        <v>99.741</v>
      </c>
      <c r="BA29" s="106" t="n">
        <v>99.7118</v>
      </c>
      <c r="BB29" s="106" t="n">
        <v>99.6818</v>
      </c>
      <c r="BC29" s="106" t="n">
        <v>99.6511</v>
      </c>
      <c r="BD29" s="106" t="n">
        <v>99.6198</v>
      </c>
      <c r="BE29" s="106" t="n">
        <v>99.5879</v>
      </c>
    </row>
    <row r="30" ht="15.75" customHeight="1" s="104">
      <c r="A30" s="20" t="n"/>
      <c r="B30" s="112" t="inlineStr">
        <is>
          <t>Convertion CO2 (%)</t>
        </is>
      </c>
      <c r="C30" s="106" t="n">
        <v>60.4206</v>
      </c>
      <c r="D30" s="106" t="n">
        <v>62.2699</v>
      </c>
      <c r="E30" s="106" t="n">
        <v>64.1217</v>
      </c>
      <c r="F30" s="106" t="n">
        <v>65.97969999999999</v>
      </c>
      <c r="G30" s="106" t="n">
        <v>67.8476</v>
      </c>
      <c r="H30" s="106" t="n">
        <v>69.7286</v>
      </c>
      <c r="I30" s="106" t="n">
        <v>71.6259</v>
      </c>
      <c r="J30" s="110" t="n"/>
      <c r="K30" s="106" t="n">
        <v>63.7845</v>
      </c>
      <c r="L30" s="106" t="n">
        <v>65.5735</v>
      </c>
      <c r="M30" s="106" t="n">
        <v>67.3511</v>
      </c>
      <c r="N30" s="106" t="n">
        <v>69.1204</v>
      </c>
      <c r="O30" s="106" t="n">
        <v>70.8847</v>
      </c>
      <c r="P30" s="106" t="n">
        <v>72.64700000000001</v>
      </c>
      <c r="Q30" s="106" t="n">
        <v>74.40989999999999</v>
      </c>
      <c r="R30" s="110" t="n"/>
      <c r="S30" s="106" t="n">
        <v>67.2621</v>
      </c>
      <c r="T30" s="106" t="n">
        <v>68.996</v>
      </c>
      <c r="U30" s="106" t="n">
        <v>70.70529999999999</v>
      </c>
      <c r="V30" s="106" t="n">
        <v>72.3938</v>
      </c>
      <c r="W30" s="106" t="n">
        <v>74.0645</v>
      </c>
      <c r="X30" s="106" t="n">
        <v>75.7205</v>
      </c>
      <c r="Y30" s="106" t="n">
        <v>77.3646</v>
      </c>
      <c r="Z30" s="33" t="n"/>
      <c r="AA30" s="106" t="n">
        <v>70.77849999999999</v>
      </c>
      <c r="AB30" s="106" t="n">
        <v>72.46850000000001</v>
      </c>
      <c r="AC30" s="106" t="n">
        <v>74.1181</v>
      </c>
      <c r="AD30" s="106" t="n">
        <v>75.73309999999999</v>
      </c>
      <c r="AE30" s="106" t="n">
        <v>77.31780000000001</v>
      </c>
      <c r="AF30" s="106" t="n">
        <v>78.8759</v>
      </c>
      <c r="AG30" s="106" t="n">
        <v>80.4106</v>
      </c>
      <c r="AH30" s="34" t="n"/>
      <c r="AI30" s="106" t="n">
        <v>74.19280000000001</v>
      </c>
      <c r="AJ30" s="106" t="n">
        <v>75.86409999999999</v>
      </c>
      <c r="AK30" s="106" t="n">
        <v>77.47280000000001</v>
      </c>
      <c r="AL30" s="106" t="n">
        <v>79.0282</v>
      </c>
      <c r="AM30" s="106" t="n">
        <v>80.5373</v>
      </c>
      <c r="AN30" s="106" t="n">
        <v>82.00579999999999</v>
      </c>
      <c r="AO30" s="106" t="n">
        <v>83.438</v>
      </c>
      <c r="AP30" s="33" t="n"/>
      <c r="AQ30" s="106" t="n">
        <v>77.31059999999999</v>
      </c>
      <c r="AR30" s="106" t="n">
        <v>78.9962</v>
      </c>
      <c r="AS30" s="106" t="n">
        <v>80.5907</v>
      </c>
      <c r="AT30" s="106" t="n">
        <v>82.1066</v>
      </c>
      <c r="AU30" s="106" t="n">
        <v>83.5544</v>
      </c>
      <c r="AV30" s="106" t="n">
        <v>84.94199999999999</v>
      </c>
      <c r="AW30" s="106" t="n">
        <v>86.2754</v>
      </c>
      <c r="AX30" s="34" t="n"/>
      <c r="AY30" s="106" t="n">
        <v>79.9512</v>
      </c>
      <c r="AZ30" s="106" t="n">
        <v>81.67359999999999</v>
      </c>
      <c r="BA30" s="106" t="n">
        <v>83.2743</v>
      </c>
      <c r="BB30" s="106" t="n">
        <v>84.7677</v>
      </c>
      <c r="BC30" s="106" t="n">
        <v>86.1658</v>
      </c>
      <c r="BD30" s="106" t="n">
        <v>87.4786</v>
      </c>
      <c r="BE30" s="106" t="n">
        <v>88.71429999999999</v>
      </c>
    </row>
    <row r="31">
      <c r="B31" s="112" t="inlineStr">
        <is>
          <t>Selec ( C )</t>
        </is>
      </c>
      <c r="C31" s="153">
        <f>C26/(C20+C26)</f>
        <v/>
      </c>
      <c r="D31" s="153">
        <f>D26/(D20+D26)</f>
        <v/>
      </c>
      <c r="E31" s="153">
        <f>E26/(E20+E26)</f>
        <v/>
      </c>
      <c r="F31" s="153">
        <f>F26/(F20+F26)</f>
        <v/>
      </c>
      <c r="G31" s="153">
        <f>G26/(G20+G26)</f>
        <v/>
      </c>
      <c r="H31" s="153">
        <f>H26/(H20+H26)</f>
        <v/>
      </c>
      <c r="I31" s="153">
        <f>I26/(I20+I26)</f>
        <v/>
      </c>
      <c r="J31" s="153" t="n"/>
      <c r="K31" s="153">
        <f>K26/(K20+K26)</f>
        <v/>
      </c>
      <c r="L31" s="153">
        <f>L26/(L20+L26)</f>
        <v/>
      </c>
      <c r="M31" s="153">
        <f>M26/(M20+M26)</f>
        <v/>
      </c>
      <c r="N31" s="153">
        <f>N26/(N20+N26)</f>
        <v/>
      </c>
      <c r="O31" s="153">
        <f>O26/(O20+O26)</f>
        <v/>
      </c>
      <c r="P31" s="153">
        <f>P26/(P20+P26)</f>
        <v/>
      </c>
      <c r="Q31" s="153">
        <f>Q26/(Q20+Q26)</f>
        <v/>
      </c>
      <c r="R31" s="153" t="n"/>
      <c r="S31" s="153">
        <f>S26/(S20+S26)</f>
        <v/>
      </c>
      <c r="T31" s="153">
        <f>T26/(T20+T26)</f>
        <v/>
      </c>
      <c r="U31" s="153">
        <f>U26/(U20+U26)</f>
        <v/>
      </c>
      <c r="V31" s="153">
        <f>V26/(V20+V26)</f>
        <v/>
      </c>
      <c r="W31" s="153">
        <f>W26/(W20+W26)</f>
        <v/>
      </c>
      <c r="X31" s="153">
        <f>X26/(X20+X26)</f>
        <v/>
      </c>
      <c r="Y31" s="153">
        <f>Y26/(Y20+Y26)</f>
        <v/>
      </c>
      <c r="Z31" s="153" t="n"/>
      <c r="AA31" s="153">
        <f>AA26/(AA20+AA26)</f>
        <v/>
      </c>
      <c r="AB31" s="153">
        <f>AB26/(AB20+AB26)</f>
        <v/>
      </c>
      <c r="AC31" s="153">
        <f>AC26/(AC20+AC26)</f>
        <v/>
      </c>
      <c r="AD31" s="153">
        <f>AD26/(AD20+AD26)</f>
        <v/>
      </c>
      <c r="AE31" s="153">
        <f>AE26/(AE20+AE26)</f>
        <v/>
      </c>
      <c r="AF31" s="153">
        <f>AF26/(AF20+AF26)</f>
        <v/>
      </c>
      <c r="AG31" s="153">
        <f>AG26/(AG20+AG26)</f>
        <v/>
      </c>
      <c r="AH31" s="153" t="n"/>
      <c r="AI31" s="153">
        <f>AI26/(AI20+AI26)</f>
        <v/>
      </c>
      <c r="AJ31" s="153">
        <f>AJ26/(AJ20+AJ26)</f>
        <v/>
      </c>
      <c r="AK31" s="153">
        <f>AK26/(AK20+AK26)</f>
        <v/>
      </c>
      <c r="AL31" s="153">
        <f>AL26/(AL20+AL26)</f>
        <v/>
      </c>
      <c r="AM31" s="153">
        <f>AM26/(AM20+AM26)</f>
        <v/>
      </c>
      <c r="AN31" s="153">
        <f>AN26/(AN20+AN26)</f>
        <v/>
      </c>
      <c r="AO31" s="153">
        <f>AO26/(AO20+AO26)</f>
        <v/>
      </c>
      <c r="AP31" s="153" t="n"/>
      <c r="AQ31" s="153">
        <f>AQ26/(AQ20+AQ26)</f>
        <v/>
      </c>
      <c r="AR31" s="153">
        <f>AR26/(AR20+AR26)</f>
        <v/>
      </c>
      <c r="AS31" s="153">
        <f>AS26/(AS20+AS26)</f>
        <v/>
      </c>
      <c r="AT31" s="153">
        <f>AT26/(AT20+AT26)</f>
        <v/>
      </c>
      <c r="AU31" s="153">
        <f>AU26/(AU20+AU26)</f>
        <v/>
      </c>
      <c r="AV31" s="153">
        <f>AV26/(AV20+AV26)</f>
        <v/>
      </c>
      <c r="AW31" s="153">
        <f>AW26/(AW20+AW26)</f>
        <v/>
      </c>
      <c r="AX31" s="153" t="n"/>
      <c r="AY31" s="153">
        <f>AY26/(AY20+AY26)</f>
        <v/>
      </c>
      <c r="AZ31" s="153">
        <f>AZ26/(AZ20+AZ26)</f>
        <v/>
      </c>
      <c r="BA31" s="153">
        <f>BA26/(BA20+BA26)</f>
        <v/>
      </c>
      <c r="BB31" s="153">
        <f>BB26/(BB20+BB26)</f>
        <v/>
      </c>
      <c r="BC31" s="153">
        <f>BC26/(BC20+BC26)</f>
        <v/>
      </c>
      <c r="BD31" s="153">
        <f>BD26/(BD20+BD26)</f>
        <v/>
      </c>
      <c r="BE31" s="153">
        <f>BE26/(BE20+BE26)</f>
        <v/>
      </c>
    </row>
    <row r="32" ht="15.75" customHeight="1" s="104">
      <c r="B32" s="112" t="inlineStr">
        <is>
          <t>H2 / CO</t>
        </is>
      </c>
      <c r="C32" s="154">
        <f>C17/C14</f>
        <v/>
      </c>
      <c r="D32" s="153">
        <f>D17/D14</f>
        <v/>
      </c>
      <c r="E32" s="153">
        <f>E17/E14</f>
        <v/>
      </c>
      <c r="F32" s="153">
        <f>F17/F14</f>
        <v/>
      </c>
      <c r="G32" s="153">
        <f>G17/G14</f>
        <v/>
      </c>
      <c r="H32" s="153">
        <f>H17/H14</f>
        <v/>
      </c>
      <c r="I32" s="153">
        <f>I17/I14</f>
        <v/>
      </c>
      <c r="J32" s="153" t="n"/>
      <c r="K32" s="154">
        <f>K17/K14</f>
        <v/>
      </c>
      <c r="L32" s="153">
        <f>L17/L14</f>
        <v/>
      </c>
      <c r="M32" s="153">
        <f>M17/M14</f>
        <v/>
      </c>
      <c r="N32" s="153">
        <f>N17/N14</f>
        <v/>
      </c>
      <c r="O32" s="153">
        <f>O17/O14</f>
        <v/>
      </c>
      <c r="P32" s="153">
        <f>P17/P14</f>
        <v/>
      </c>
      <c r="Q32" s="153">
        <f>Q17/Q14</f>
        <v/>
      </c>
      <c r="R32" s="153" t="n"/>
      <c r="S32" s="153">
        <f>S17/S14</f>
        <v/>
      </c>
      <c r="T32" s="154">
        <f>T17/T14</f>
        <v/>
      </c>
      <c r="U32" s="153">
        <f>U17/U14</f>
        <v/>
      </c>
      <c r="V32" s="153">
        <f>V17/V14</f>
        <v/>
      </c>
      <c r="W32" s="153">
        <f>W17/W14</f>
        <v/>
      </c>
      <c r="X32" s="153">
        <f>X17/X14</f>
        <v/>
      </c>
      <c r="Y32" s="153">
        <f>Y17/Y14</f>
        <v/>
      </c>
      <c r="Z32" s="153" t="n"/>
      <c r="AA32" s="153">
        <f>AA17/AA14</f>
        <v/>
      </c>
      <c r="AB32" s="153">
        <f>AB17/AB14</f>
        <v/>
      </c>
      <c r="AC32" s="154">
        <f>AC17/AC14</f>
        <v/>
      </c>
      <c r="AD32" s="153">
        <f>AD17/AD14</f>
        <v/>
      </c>
      <c r="AE32" s="153">
        <f>AE17/AE14</f>
        <v/>
      </c>
      <c r="AF32" s="153">
        <f>AF17/AF14</f>
        <v/>
      </c>
      <c r="AG32" s="153">
        <f>AG17/AG14</f>
        <v/>
      </c>
      <c r="AH32" s="153" t="n"/>
      <c r="AI32" s="153">
        <f>AI17/AI14</f>
        <v/>
      </c>
      <c r="AJ32" s="153">
        <f>AJ17/AJ14</f>
        <v/>
      </c>
      <c r="AK32" s="153">
        <f>AK17/AK14</f>
        <v/>
      </c>
      <c r="AL32" s="153">
        <f>AL17/AL14</f>
        <v/>
      </c>
      <c r="AM32" s="153">
        <f>AM17/AM14</f>
        <v/>
      </c>
      <c r="AN32" s="153">
        <f>AN17/AN14</f>
        <v/>
      </c>
      <c r="AO32" s="153">
        <f>AO17/AO14</f>
        <v/>
      </c>
      <c r="AP32" s="153" t="n"/>
      <c r="AQ32" s="153">
        <f>AQ17/AQ14</f>
        <v/>
      </c>
      <c r="AR32" s="153">
        <f>AR17/AR14</f>
        <v/>
      </c>
      <c r="AS32" s="153">
        <f>AS17/AS14</f>
        <v/>
      </c>
      <c r="AT32" s="154">
        <f>AT17/AT14</f>
        <v/>
      </c>
      <c r="AU32" s="153">
        <f>AU17/AU14</f>
        <v/>
      </c>
      <c r="AV32" s="153">
        <f>AV17/AV14</f>
        <v/>
      </c>
      <c r="AW32" s="153">
        <f>AW17/AW14</f>
        <v/>
      </c>
      <c r="AX32" s="153" t="n"/>
      <c r="AY32" s="153">
        <f>AY17/AY14</f>
        <v/>
      </c>
      <c r="AZ32" s="153">
        <f>AZ17/AZ14</f>
        <v/>
      </c>
      <c r="BA32" s="153">
        <f>BA17/BA14</f>
        <v/>
      </c>
      <c r="BB32" s="153">
        <f>BB17/BB14</f>
        <v/>
      </c>
      <c r="BC32" s="154">
        <f>BC17/BC14</f>
        <v/>
      </c>
      <c r="BD32" s="153">
        <f>BD17/BD14</f>
        <v/>
      </c>
      <c r="BE32" s="153">
        <f>BE17/BE14</f>
        <v/>
      </c>
    </row>
    <row r="33"/>
    <row r="34">
      <c r="C34" s="153">
        <f>ABS(C32-1.9)</f>
        <v/>
      </c>
      <c r="D34" s="153">
        <f>ABS(D32-1.9)</f>
        <v/>
      </c>
      <c r="E34" s="153">
        <f>ABS(E32-1.9)</f>
        <v/>
      </c>
      <c r="F34" s="153">
        <f>ABS(F32-1.9)</f>
        <v/>
      </c>
      <c r="G34" s="153">
        <f>ABS(G32-1.9)</f>
        <v/>
      </c>
      <c r="H34" s="153">
        <f>ABS(H32-1.9)</f>
        <v/>
      </c>
      <c r="I34" s="153">
        <f>ABS(I32-1.9)</f>
        <v/>
      </c>
      <c r="J34" s="153" t="n"/>
      <c r="K34" s="154">
        <f>ABS(K32-1.9)</f>
        <v/>
      </c>
      <c r="L34" s="154">
        <f>ABS(L32-1.9)</f>
        <v/>
      </c>
      <c r="M34" s="153">
        <f>ABS(M32-1.9)</f>
        <v/>
      </c>
      <c r="N34" s="153">
        <f>ABS(N32-1.9)</f>
        <v/>
      </c>
      <c r="O34" s="153">
        <f>ABS(O32-1.9)</f>
        <v/>
      </c>
      <c r="P34" s="153">
        <f>ABS(P32-1.9)</f>
        <v/>
      </c>
      <c r="Q34" s="153">
        <f>ABS(Q32-1.9)</f>
        <v/>
      </c>
      <c r="R34" s="153" t="n"/>
      <c r="S34" s="153">
        <f>ABS(S32-1.9)</f>
        <v/>
      </c>
      <c r="T34" s="154">
        <f>ABS(T32-1.9)</f>
        <v/>
      </c>
      <c r="U34" s="153">
        <f>ABS(U32-1.9)</f>
        <v/>
      </c>
      <c r="V34" s="153">
        <f>ABS(V32-1.9)</f>
        <v/>
      </c>
      <c r="W34" s="153">
        <f>ABS(W32-1.9)</f>
        <v/>
      </c>
      <c r="X34" s="153">
        <f>ABS(X32-1.9)</f>
        <v/>
      </c>
      <c r="Y34" s="153">
        <f>ABS(Y32-1.9)</f>
        <v/>
      </c>
      <c r="Z34" s="153" t="n"/>
      <c r="AA34" s="153">
        <f>ABS(AA32-1.9)</f>
        <v/>
      </c>
      <c r="AB34" s="153">
        <f>ABS(AB32-1.9)</f>
        <v/>
      </c>
      <c r="AC34" s="154">
        <f>ABS(AC32-1.9)</f>
        <v/>
      </c>
      <c r="AD34" s="153">
        <f>ABS(AD32-1.9)</f>
        <v/>
      </c>
      <c r="AE34" s="153">
        <f>ABS(AE32-1.9)</f>
        <v/>
      </c>
      <c r="AF34" s="153">
        <f>ABS(AF32-1.9)</f>
        <v/>
      </c>
      <c r="AG34" s="153">
        <f>ABS(AG32-1.9)</f>
        <v/>
      </c>
      <c r="AH34" s="153" t="n"/>
      <c r="AI34" s="153">
        <f>ABS(AI32-1.9)</f>
        <v/>
      </c>
      <c r="AJ34" s="153">
        <f>ABS(AJ32-1.9)</f>
        <v/>
      </c>
      <c r="AK34" s="153">
        <f>ABS(AK32-1.9)</f>
        <v/>
      </c>
      <c r="AL34" s="154">
        <f>ABS(AL32-1.9)</f>
        <v/>
      </c>
      <c r="AM34" s="153">
        <f>ABS(AM32-1.9)</f>
        <v/>
      </c>
      <c r="AN34" s="153">
        <f>ABS(AN32-1.9)</f>
        <v/>
      </c>
      <c r="AO34" s="153">
        <f>ABS(AO32-1.9)</f>
        <v/>
      </c>
      <c r="AP34" s="153" t="n"/>
      <c r="AQ34" s="153">
        <f>ABS(AQ32-1.9)</f>
        <v/>
      </c>
      <c r="AR34" s="153">
        <f>ABS(AR32-1.9)</f>
        <v/>
      </c>
      <c r="AS34" s="153">
        <f>ABS(AS32-1.9)</f>
        <v/>
      </c>
      <c r="AT34" s="154">
        <f>ABS(AT32-1.9)</f>
        <v/>
      </c>
      <c r="AU34" s="154">
        <f>ABS(AU32-1.9)</f>
        <v/>
      </c>
      <c r="AV34" s="153">
        <f>ABS(AV32-1.9)</f>
        <v/>
      </c>
      <c r="AW34" s="153">
        <f>ABS(AW32-1.9)</f>
        <v/>
      </c>
      <c r="AX34" s="153" t="n"/>
      <c r="AY34" s="153">
        <f>ABS(AY32-1.9)</f>
        <v/>
      </c>
      <c r="AZ34" s="153">
        <f>ABS(AZ32-1.9)</f>
        <v/>
      </c>
      <c r="BA34" s="153">
        <f>ABS(BA32-1.9)</f>
        <v/>
      </c>
      <c r="BB34" s="153">
        <f>ABS(BB32-1.9)</f>
        <v/>
      </c>
      <c r="BC34" s="154">
        <f>ABS(BC32-1.9)</f>
        <v/>
      </c>
      <c r="BD34" s="153">
        <f>ABS(BD32-1.9)</f>
        <v/>
      </c>
      <c r="BE34" s="153">
        <f>ABS(BE32-1.9)</f>
        <v/>
      </c>
    </row>
    <row r="35" s="104">
      <c r="A35" t="n">
        <v>12</v>
      </c>
      <c r="B35" t="inlineStr">
        <is>
          <t>2) 1,80 &lt;= H2/CO &lt;= 2,00  -----&gt;</t>
        </is>
      </c>
      <c r="C35" s="153" t="n"/>
      <c r="D35" s="153" t="n"/>
      <c r="E35" s="153" t="n"/>
      <c r="F35" s="153" t="n"/>
      <c r="G35" s="153" t="n"/>
      <c r="H35" s="153" t="n"/>
      <c r="I35" s="153" t="n"/>
      <c r="J35" s="153" t="n"/>
      <c r="K35" s="153" t="n"/>
      <c r="L35" s="153" t="n"/>
      <c r="M35" s="153" t="n"/>
      <c r="N35" s="153" t="n"/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  <c r="Z35" s="153" t="n"/>
      <c r="AA35" s="153" t="n"/>
      <c r="AB35" s="153" t="n"/>
      <c r="AC35" s="153" t="n"/>
      <c r="AD35" s="153" t="n"/>
      <c r="AE35" s="153" t="n"/>
      <c r="AF35" s="153" t="n"/>
      <c r="AG35" s="153" t="n"/>
      <c r="AH35" s="153" t="n"/>
      <c r="AI35" s="153" t="n"/>
      <c r="AJ35" s="153" t="n"/>
      <c r="AK35" s="153" t="n"/>
      <c r="AL35" s="153" t="n"/>
      <c r="AM35" s="153" t="n"/>
      <c r="AN35" s="153" t="n"/>
      <c r="AO35" s="153" t="n"/>
      <c r="AP35" s="153" t="n"/>
      <c r="AQ35" s="153" t="n"/>
      <c r="AR35" s="153" t="n"/>
      <c r="AS35" s="153" t="n"/>
      <c r="AT35" s="153" t="n"/>
      <c r="AU35" s="153" t="n"/>
      <c r="AV35" s="153" t="n"/>
      <c r="AW35" s="153" t="n"/>
      <c r="AX35" s="153" t="n"/>
      <c r="AY35" s="153" t="n"/>
      <c r="AZ35" s="153" t="n"/>
      <c r="BA35" s="153" t="n"/>
      <c r="BB35" s="153" t="n"/>
      <c r="BC35" s="153" t="n"/>
      <c r="BD35" s="153" t="n"/>
      <c r="BE35" s="153" t="n"/>
    </row>
    <row r="36" s="104">
      <c r="C36" s="153" t="n"/>
      <c r="D36" s="153" t="n"/>
      <c r="E36" s="153" t="n"/>
      <c r="F36" s="153" t="n"/>
      <c r="G36" s="153" t="n"/>
      <c r="H36" s="153" t="n"/>
      <c r="I36" s="153" t="n"/>
      <c r="J36" s="153" t="n"/>
      <c r="K36" s="153" t="n"/>
      <c r="L36" s="153" t="n"/>
      <c r="M36" s="153" t="n"/>
      <c r="N36" s="153" t="n"/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  <c r="Z36" s="153" t="n"/>
      <c r="AA36" s="153" t="n"/>
      <c r="AB36" s="153" t="n"/>
      <c r="AC36" s="153" t="n"/>
      <c r="AD36" s="153" t="n"/>
      <c r="AE36" s="153" t="n"/>
      <c r="AF36" s="153" t="n"/>
      <c r="AG36" s="153" t="n"/>
      <c r="AH36" s="153" t="n"/>
      <c r="AI36" s="153" t="n"/>
      <c r="AJ36" s="153" t="n"/>
      <c r="AK36" s="153" t="n"/>
      <c r="AL36" s="153" t="n"/>
      <c r="AM36" s="153" t="n"/>
      <c r="AN36" s="153" t="n"/>
      <c r="AO36" s="153" t="n"/>
      <c r="AP36" s="153" t="n"/>
      <c r="AQ36" s="153" t="n"/>
      <c r="AR36" s="153" t="n"/>
      <c r="AS36" s="153" t="n"/>
      <c r="AT36" s="153" t="n"/>
      <c r="AU36" s="153" t="n"/>
      <c r="AV36" s="153" t="n"/>
      <c r="AW36" s="153" t="n"/>
      <c r="AX36" s="153" t="n"/>
      <c r="AY36" s="153" t="n"/>
      <c r="AZ36" s="153" t="n"/>
      <c r="BA36" s="153" t="n"/>
      <c r="BB36" s="153" t="n"/>
      <c r="BC36" s="153" t="inlineStr">
        <is>
          <t>R6</t>
        </is>
      </c>
      <c r="BD36" s="153" t="n"/>
      <c r="BE36" s="153" t="n"/>
    </row>
    <row r="37" ht="23.25" customHeight="1" s="104">
      <c r="A37" s="119" t="inlineStr">
        <is>
          <t>CRITÉRIOS PARA A ESCOLHA DOS 6 CANDIDATOS PARA ACOPLAMENTO COM SFT</t>
        </is>
      </c>
      <c r="B37" s="118" t="n"/>
      <c r="C37" s="153" t="n"/>
      <c r="D37" s="153" t="n"/>
      <c r="E37" s="153" t="n"/>
      <c r="F37" s="153" t="n"/>
      <c r="G37" s="153" t="n"/>
      <c r="H37" s="153" t="n"/>
      <c r="I37" s="153" t="n"/>
      <c r="J37" s="153" t="n"/>
      <c r="K37" s="153" t="n"/>
      <c r="L37" s="153" t="n"/>
      <c r="M37" s="153" t="n"/>
      <c r="N37" s="153" t="n"/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  <c r="Z37" s="153" t="n"/>
      <c r="AA37" s="153" t="n"/>
      <c r="AB37" s="153" t="n"/>
      <c r="AC37" s="153" t="n"/>
      <c r="AD37" s="153" t="n"/>
      <c r="AE37" s="153" t="n"/>
      <c r="AF37" s="153" t="n"/>
      <c r="AG37" s="153" t="n"/>
      <c r="AH37" s="153" t="n"/>
      <c r="AI37" s="153" t="n"/>
      <c r="AJ37" s="153" t="n"/>
      <c r="AK37" s="153" t="n"/>
      <c r="AL37" s="153" t="n"/>
      <c r="AM37" s="153" t="n"/>
      <c r="AN37" s="153" t="n"/>
      <c r="AO37" s="153" t="n"/>
      <c r="AP37" s="153" t="n"/>
      <c r="AQ37" s="153" t="n"/>
      <c r="AR37" s="153" t="n"/>
      <c r="AS37" s="153" t="n"/>
      <c r="AT37" s="153" t="n"/>
      <c r="AU37" s="153" t="n"/>
      <c r="AV37" s="153" t="n"/>
      <c r="AW37" s="153" t="n"/>
      <c r="AX37" s="153" t="n"/>
      <c r="AY37" s="153" t="n"/>
      <c r="AZ37" s="153" t="n"/>
      <c r="BA37" s="153" t="n"/>
      <c r="BB37" s="153" t="n"/>
      <c r="BC37" s="153" t="n"/>
      <c r="BD37" s="153" t="n"/>
      <c r="BE37" s="153" t="n"/>
    </row>
    <row r="38" ht="18.75" customHeight="1" s="104">
      <c r="B38" s="123" t="inlineStr">
        <is>
          <t>1) Composições intermediárias (próximas a 0,5:0,5) CH4 (fração molar): 0,5; 0,525; 0,55; 0,575; 0,60</t>
        </is>
      </c>
    </row>
    <row r="40">
      <c r="B40" t="inlineStr">
        <is>
          <t>Temperatura ( K ) =</t>
        </is>
      </c>
      <c r="C40" s="122" t="inlineStr">
        <is>
          <t>973 K</t>
        </is>
      </c>
      <c r="D40" s="122" t="inlineStr">
        <is>
          <t>973 K</t>
        </is>
      </c>
      <c r="E40" s="122" t="inlineStr">
        <is>
          <t>973 K</t>
        </is>
      </c>
      <c r="F40" s="122" t="inlineStr">
        <is>
          <t>973 K</t>
        </is>
      </c>
      <c r="G40" s="122" t="inlineStr">
        <is>
          <t>973 K</t>
        </is>
      </c>
      <c r="H40" s="120" t="inlineStr">
        <is>
          <t>973 K</t>
        </is>
      </c>
      <c r="I40" s="120" t="inlineStr">
        <is>
          <t>973 K</t>
        </is>
      </c>
      <c r="K40" s="121" t="inlineStr">
        <is>
          <t>998 K</t>
        </is>
      </c>
      <c r="L40" s="121" t="inlineStr">
        <is>
          <t>998 K</t>
        </is>
      </c>
      <c r="M40" s="121" t="inlineStr">
        <is>
          <t>998 K</t>
        </is>
      </c>
      <c r="N40" s="121" t="inlineStr">
        <is>
          <t>998 K</t>
        </is>
      </c>
      <c r="O40" s="121" t="inlineStr">
        <is>
          <t>998 K</t>
        </is>
      </c>
      <c r="P40" s="120" t="inlineStr">
        <is>
          <t>998 K</t>
        </is>
      </c>
      <c r="Q40" s="120" t="inlineStr">
        <is>
          <t>998 K</t>
        </is>
      </c>
      <c r="S40" s="122" t="inlineStr">
        <is>
          <t>1023 K</t>
        </is>
      </c>
      <c r="T40" s="122" t="inlineStr">
        <is>
          <t>1023 K</t>
        </is>
      </c>
      <c r="U40" s="122" t="inlineStr">
        <is>
          <t>1023 K</t>
        </is>
      </c>
      <c r="V40" s="122" t="inlineStr">
        <is>
          <t>1023 K</t>
        </is>
      </c>
      <c r="W40" s="122" t="inlineStr">
        <is>
          <t>1023 K</t>
        </is>
      </c>
      <c r="X40" s="120" t="inlineStr">
        <is>
          <t>1023 K</t>
        </is>
      </c>
      <c r="Y40" s="120" t="inlineStr">
        <is>
          <t>1023 K</t>
        </is>
      </c>
      <c r="AA40" t="inlineStr">
        <is>
          <t>1048 K</t>
        </is>
      </c>
      <c r="AB40" t="inlineStr">
        <is>
          <t>1048 K</t>
        </is>
      </c>
      <c r="AC40" t="inlineStr">
        <is>
          <t>1048 K</t>
        </is>
      </c>
      <c r="AD40" t="inlineStr">
        <is>
          <t>1048 K</t>
        </is>
      </c>
      <c r="AE40" t="inlineStr">
        <is>
          <t>1048 K</t>
        </is>
      </c>
      <c r="AF40" s="120" t="inlineStr">
        <is>
          <t>1048 K</t>
        </is>
      </c>
      <c r="AG40" s="120" t="inlineStr">
        <is>
          <t>1048 K</t>
        </is>
      </c>
      <c r="AI40" t="inlineStr">
        <is>
          <t>1073 K</t>
        </is>
      </c>
      <c r="AJ40" t="inlineStr">
        <is>
          <t>1073 K</t>
        </is>
      </c>
      <c r="AK40" t="inlineStr">
        <is>
          <t>1073 K</t>
        </is>
      </c>
      <c r="AL40" t="inlineStr">
        <is>
          <t>1073 K</t>
        </is>
      </c>
      <c r="AM40" t="inlineStr">
        <is>
          <t>1073 K</t>
        </is>
      </c>
      <c r="AN40" s="120" t="inlineStr">
        <is>
          <t>1073 K</t>
        </is>
      </c>
      <c r="AO40" s="120" t="inlineStr">
        <is>
          <t>1073 K</t>
        </is>
      </c>
      <c r="AQ40" t="inlineStr">
        <is>
          <t>1098 K</t>
        </is>
      </c>
      <c r="AR40" t="inlineStr">
        <is>
          <t>1098 K</t>
        </is>
      </c>
      <c r="AS40" t="inlineStr">
        <is>
          <t>1098 K</t>
        </is>
      </c>
      <c r="AT40" t="inlineStr">
        <is>
          <t>1098 K</t>
        </is>
      </c>
      <c r="AU40" t="inlineStr">
        <is>
          <t>1098 K</t>
        </is>
      </c>
      <c r="AV40" s="120" t="inlineStr">
        <is>
          <t>1098 K</t>
        </is>
      </c>
      <c r="AW40" s="120" t="inlineStr">
        <is>
          <t>1098 K</t>
        </is>
      </c>
      <c r="AY40" t="inlineStr">
        <is>
          <t>1123 K</t>
        </is>
      </c>
      <c r="AZ40" t="inlineStr">
        <is>
          <t>1123 K</t>
        </is>
      </c>
      <c r="BA40" t="inlineStr">
        <is>
          <t>1123 K</t>
        </is>
      </c>
      <c r="BB40" t="inlineStr">
        <is>
          <t>1123 K</t>
        </is>
      </c>
      <c r="BC40" t="inlineStr">
        <is>
          <t>1123 K</t>
        </is>
      </c>
      <c r="BD40" s="120" t="inlineStr">
        <is>
          <t>1123 K</t>
        </is>
      </c>
      <c r="BE40" s="120" t="inlineStr">
        <is>
          <t>1123 K</t>
        </is>
      </c>
    </row>
    <row r="41">
      <c r="C41" s="122" t="n"/>
      <c r="D41" s="122" t="n"/>
      <c r="E41" s="122" t="n"/>
      <c r="F41" s="122" t="n"/>
      <c r="G41" s="122" t="n"/>
      <c r="H41" s="120" t="n"/>
      <c r="I41" s="120" t="n"/>
      <c r="K41" s="121" t="n"/>
      <c r="L41" s="121" t="n"/>
      <c r="M41" s="121" t="n"/>
      <c r="N41" s="121" t="n"/>
      <c r="O41" s="121" t="n"/>
      <c r="P41" s="120" t="n"/>
      <c r="Q41" s="120" t="n"/>
      <c r="S41" s="122" t="n"/>
      <c r="T41" s="122" t="n"/>
      <c r="U41" s="122" t="n"/>
      <c r="V41" s="122" t="n"/>
      <c r="W41" s="122" t="n"/>
      <c r="X41" s="120" t="n"/>
      <c r="Y41" s="120" t="n"/>
      <c r="AF41" s="120" t="n"/>
      <c r="AG41" s="120" t="n"/>
      <c r="AN41" s="120" t="n"/>
      <c r="AO41" s="120" t="n"/>
      <c r="AV41" s="120" t="n"/>
      <c r="AW41" s="120" t="n"/>
      <c r="BD41" s="120" t="n"/>
      <c r="BE41" s="120" t="n"/>
    </row>
    <row r="42">
      <c r="B42" t="inlineStr">
        <is>
          <t>CH4 (fração molar) =</t>
        </is>
      </c>
      <c r="C42" s="124" t="n">
        <v>0.5</v>
      </c>
      <c r="D42" s="124" t="n">
        <v>0.525</v>
      </c>
      <c r="E42" s="124" t="n">
        <v>0.55</v>
      </c>
      <c r="F42" s="124" t="n">
        <v>0.575</v>
      </c>
      <c r="G42" s="124" t="n">
        <v>0.6</v>
      </c>
      <c r="H42" s="120" t="n">
        <v>0.625</v>
      </c>
      <c r="I42" s="120" t="n">
        <v>0.65</v>
      </c>
      <c r="K42" s="124" t="n">
        <v>0.5</v>
      </c>
      <c r="L42" s="124" t="n">
        <v>0.525</v>
      </c>
      <c r="M42" s="124" t="n">
        <v>0.55</v>
      </c>
      <c r="N42" s="124" t="n">
        <v>0.575</v>
      </c>
      <c r="O42" s="124" t="n">
        <v>0.6</v>
      </c>
      <c r="P42" s="120" t="n">
        <v>0.625</v>
      </c>
      <c r="Q42" s="120" t="n">
        <v>0.65</v>
      </c>
      <c r="S42" s="124" t="n">
        <v>0.5</v>
      </c>
      <c r="T42" s="124" t="n">
        <v>0.525</v>
      </c>
      <c r="U42" s="124" t="n">
        <v>0.55</v>
      </c>
      <c r="V42" s="124" t="n">
        <v>0.575</v>
      </c>
      <c r="W42" s="124" t="n">
        <v>0.6</v>
      </c>
      <c r="X42" s="120" t="n">
        <v>0.625</v>
      </c>
      <c r="Y42" s="120" t="n">
        <v>0.65</v>
      </c>
      <c r="AA42" s="124" t="n">
        <v>0.5</v>
      </c>
      <c r="AB42" s="124" t="n">
        <v>0.525</v>
      </c>
      <c r="AC42" s="124" t="n">
        <v>0.55</v>
      </c>
      <c r="AD42" s="124" t="n">
        <v>0.575</v>
      </c>
      <c r="AE42" s="124" t="n">
        <v>0.6</v>
      </c>
      <c r="AF42" s="120" t="n">
        <v>0.625</v>
      </c>
      <c r="AG42" s="120" t="n">
        <v>0.65</v>
      </c>
      <c r="AI42" s="124" t="n">
        <v>0.5</v>
      </c>
      <c r="AJ42" s="124" t="n">
        <v>0.525</v>
      </c>
      <c r="AK42" s="124" t="n">
        <v>0.55</v>
      </c>
      <c r="AL42" s="124" t="n">
        <v>0.575</v>
      </c>
      <c r="AM42" s="124" t="n">
        <v>0.6</v>
      </c>
      <c r="AN42" s="120" t="n">
        <v>0.625</v>
      </c>
      <c r="AO42" s="120" t="n">
        <v>0.65</v>
      </c>
      <c r="AQ42" s="124" t="n">
        <v>0.5</v>
      </c>
      <c r="AR42" s="124" t="n">
        <v>0.525</v>
      </c>
      <c r="AS42" s="124" t="n">
        <v>0.55</v>
      </c>
      <c r="AT42" s="124" t="n">
        <v>0.575</v>
      </c>
      <c r="AU42" s="124" t="n">
        <v>0.6</v>
      </c>
      <c r="AV42" s="120" t="n">
        <v>0.625</v>
      </c>
      <c r="AW42" s="120" t="n">
        <v>0.65</v>
      </c>
      <c r="AY42" s="124" t="n">
        <v>0.5</v>
      </c>
      <c r="AZ42" s="124" t="n">
        <v>0.525</v>
      </c>
      <c r="BA42" s="124" t="n">
        <v>0.55</v>
      </c>
      <c r="BB42" s="124" t="n">
        <v>0.575</v>
      </c>
      <c r="BC42" s="124" t="n">
        <v>0.6</v>
      </c>
      <c r="BD42" s="120" t="n">
        <v>0.625</v>
      </c>
      <c r="BE42" s="120" t="n">
        <v>0.65</v>
      </c>
    </row>
    <row r="43">
      <c r="B43" t="inlineStr">
        <is>
          <t>CO2 (fração molar) =</t>
        </is>
      </c>
      <c r="C43" s="124" t="n">
        <v>0.5</v>
      </c>
      <c r="D43" s="124" t="n">
        <v>0.475</v>
      </c>
      <c r="E43" s="124" t="n">
        <v>0.45</v>
      </c>
      <c r="F43" s="124" t="n">
        <v>0.425</v>
      </c>
      <c r="G43" s="124" t="n">
        <v>0.4</v>
      </c>
      <c r="H43" s="120" t="n">
        <v>0.375</v>
      </c>
      <c r="I43" s="120" t="n">
        <v>0.35</v>
      </c>
      <c r="K43" s="124" t="n">
        <v>0.5</v>
      </c>
      <c r="L43" s="124" t="n">
        <v>0.475</v>
      </c>
      <c r="M43" s="124" t="n">
        <v>0.45</v>
      </c>
      <c r="N43" s="124" t="n">
        <v>0.425</v>
      </c>
      <c r="O43" s="124" t="n">
        <v>0.4</v>
      </c>
      <c r="P43" s="120" t="n">
        <v>0.375</v>
      </c>
      <c r="Q43" s="120" t="n">
        <v>0.35</v>
      </c>
      <c r="S43" s="124" t="n">
        <v>0.5</v>
      </c>
      <c r="T43" s="124" t="n">
        <v>0.475</v>
      </c>
      <c r="U43" s="124" t="n">
        <v>0.45</v>
      </c>
      <c r="V43" s="124" t="n">
        <v>0.425</v>
      </c>
      <c r="W43" s="124" t="n">
        <v>0.4</v>
      </c>
      <c r="X43" s="120" t="n">
        <v>0.375</v>
      </c>
      <c r="Y43" s="120" t="n">
        <v>0.35</v>
      </c>
      <c r="AA43" s="124" t="n">
        <v>0.5</v>
      </c>
      <c r="AB43" s="124" t="n">
        <v>0.475</v>
      </c>
      <c r="AC43" s="124" t="n">
        <v>0.45</v>
      </c>
      <c r="AD43" s="124" t="n">
        <v>0.425</v>
      </c>
      <c r="AE43" s="124" t="n">
        <v>0.4</v>
      </c>
      <c r="AF43" s="120" t="n">
        <v>0.375</v>
      </c>
      <c r="AG43" s="120" t="n">
        <v>0.35</v>
      </c>
      <c r="AI43" s="124" t="n">
        <v>0.5</v>
      </c>
      <c r="AJ43" s="124" t="n">
        <v>0.475</v>
      </c>
      <c r="AK43" s="124" t="n">
        <v>0.45</v>
      </c>
      <c r="AL43" s="124" t="n">
        <v>0.425</v>
      </c>
      <c r="AM43" s="124" t="n">
        <v>0.4</v>
      </c>
      <c r="AN43" s="120" t="n">
        <v>0.375</v>
      </c>
      <c r="AO43" s="120" t="n">
        <v>0.35</v>
      </c>
      <c r="AQ43" s="124" t="n">
        <v>0.5</v>
      </c>
      <c r="AR43" s="124" t="n">
        <v>0.475</v>
      </c>
      <c r="AS43" s="124" t="n">
        <v>0.45</v>
      </c>
      <c r="AT43" s="124" t="n">
        <v>0.425</v>
      </c>
      <c r="AU43" s="124" t="n">
        <v>0.4</v>
      </c>
      <c r="AV43" s="120" t="n">
        <v>0.375</v>
      </c>
      <c r="AW43" s="120" t="n">
        <v>0.35</v>
      </c>
      <c r="AY43" s="124" t="n">
        <v>0.5</v>
      </c>
      <c r="AZ43" s="124" t="n">
        <v>0.475</v>
      </c>
      <c r="BA43" s="124" t="n">
        <v>0.45</v>
      </c>
      <c r="BB43" s="124" t="n">
        <v>0.425</v>
      </c>
      <c r="BC43" s="124" t="n">
        <v>0.4</v>
      </c>
      <c r="BD43" s="120" t="n">
        <v>0.375</v>
      </c>
      <c r="BE43" s="120" t="n">
        <v>0.35</v>
      </c>
    </row>
    <row r="44">
      <c r="B44" t="inlineStr">
        <is>
          <t>H2 / CO</t>
        </is>
      </c>
      <c r="C44" s="122" t="n">
        <v>2.052453556718754</v>
      </c>
      <c r="D44" s="122" t="n">
        <v>2.267802415765033</v>
      </c>
      <c r="E44" s="122" t="n">
        <v>2.509141755141424</v>
      </c>
      <c r="F44" s="122" t="n">
        <v>2.781491444784843</v>
      </c>
      <c r="G44" s="122" t="n">
        <v>3.091181543588302</v>
      </c>
      <c r="H44" s="120" t="n">
        <v>3.446301156407018</v>
      </c>
      <c r="I44" s="120" t="n">
        <v>3.857339201773238</v>
      </c>
      <c r="K44" s="121" t="n">
        <v>1.851934649519887</v>
      </c>
      <c r="L44" s="121" t="n">
        <v>2.042728749265387</v>
      </c>
      <c r="M44" s="121" t="n">
        <v>2.255628222612294</v>
      </c>
      <c r="N44" s="121" t="n">
        <v>2.494755276942328</v>
      </c>
      <c r="O44" s="121" t="n">
        <v>2.76528167310002</v>
      </c>
      <c r="P44" s="120" t="n">
        <v>3.0737761928787</v>
      </c>
      <c r="Q44" s="120" t="n">
        <v>3.428698343401113</v>
      </c>
      <c r="S44" s="122" t="n">
        <v>1.687397881171018</v>
      </c>
      <c r="T44" s="122" t="n">
        <v>1.858589792458427</v>
      </c>
      <c r="U44" s="122" t="n">
        <v>2.048988692101275</v>
      </c>
      <c r="V44" s="122" t="n">
        <v>2.262035609213426</v>
      </c>
      <c r="W44" s="122" t="n">
        <v>2.502039423382232</v>
      </c>
      <c r="X44" s="120" t="n">
        <v>2.774451118063133</v>
      </c>
      <c r="Y44" s="120" t="n">
        <v>3.086244099763446</v>
      </c>
      <c r="AA44" t="n">
        <v>1.553203565805385</v>
      </c>
      <c r="AB44" t="n">
        <v>1.708346716118186</v>
      </c>
      <c r="AC44" t="n">
        <v>1.880551193539135</v>
      </c>
      <c r="AD44" t="n">
        <v>2.072742557785948</v>
      </c>
      <c r="AE44" t="n">
        <v>2.288578799283994</v>
      </c>
      <c r="AF44" s="120" t="n">
        <v>2.532685139520981</v>
      </c>
      <c r="AG44" s="120" t="n">
        <v>2.81096894816176</v>
      </c>
      <c r="AI44" t="n">
        <v>1.446152464131587</v>
      </c>
      <c r="AJ44" t="n">
        <v>1.587972913964239</v>
      </c>
      <c r="AK44" t="n">
        <v>1.745270496933264</v>
      </c>
      <c r="AL44" t="n">
        <v>1.920607651622609</v>
      </c>
      <c r="AM44" t="n">
        <v>2.117185377035747</v>
      </c>
      <c r="AN44" s="120" t="n">
        <v>2.339051294239765</v>
      </c>
      <c r="AO44" s="120" t="n">
        <v>2.59139202198611</v>
      </c>
      <c r="AQ44" t="n">
        <v>1.363914169372565</v>
      </c>
      <c r="AR44" t="n">
        <v>1.494915299474466</v>
      </c>
      <c r="AS44" t="n">
        <v>1.640218384324564</v>
      </c>
      <c r="AT44" t="n">
        <v>1.802181755912512</v>
      </c>
      <c r="AU44" t="n">
        <v>1.983744453926208</v>
      </c>
      <c r="AV44" s="120" t="n">
        <v>2.188634614131513</v>
      </c>
      <c r="AW44" s="120" t="n">
        <v>2.421649569998223</v>
      </c>
      <c r="AY44" t="n">
        <v>1.303631977937586</v>
      </c>
      <c r="AZ44" t="n">
        <v>1.426422499680358</v>
      </c>
      <c r="BA44" t="n">
        <v>1.562658639352182</v>
      </c>
      <c r="BB44" t="n">
        <v>1.714640221041011</v>
      </c>
      <c r="BC44" t="n">
        <v>1.885226224836421</v>
      </c>
      <c r="BD44" s="120" t="n">
        <v>2.078047702773677</v>
      </c>
      <c r="BE44" s="120" t="n">
        <v>2.297775161754692</v>
      </c>
    </row>
    <row r="45">
      <c r="H45" s="120" t="n"/>
      <c r="I45" s="120" t="n"/>
    </row>
    <row r="46" ht="15.75" customHeight="1" s="104">
      <c r="B46" s="125" t="inlineStr">
        <is>
          <t>2) 1,80 &lt;= H2/CO &lt;= 2,00</t>
        </is>
      </c>
    </row>
    <row r="47">
      <c r="C47" s="120" t="inlineStr">
        <is>
          <t>973 K</t>
        </is>
      </c>
      <c r="D47" s="120" t="inlineStr">
        <is>
          <t>973 K</t>
        </is>
      </c>
      <c r="E47" s="120" t="inlineStr">
        <is>
          <t>973 K</t>
        </is>
      </c>
      <c r="F47" s="120" t="inlineStr">
        <is>
          <t>973 K</t>
        </is>
      </c>
      <c r="G47" s="120" t="inlineStr">
        <is>
          <t>973 K</t>
        </is>
      </c>
      <c r="H47" s="120" t="n"/>
      <c r="I47" s="120" t="n"/>
      <c r="K47" t="inlineStr">
        <is>
          <t>998 K</t>
        </is>
      </c>
      <c r="L47" s="120" t="inlineStr">
        <is>
          <t>998 K</t>
        </is>
      </c>
      <c r="M47" s="120" t="inlineStr">
        <is>
          <t>998 K</t>
        </is>
      </c>
      <c r="N47" s="120" t="inlineStr">
        <is>
          <t>998 K</t>
        </is>
      </c>
      <c r="O47" s="120" t="inlineStr">
        <is>
          <t>998 K</t>
        </is>
      </c>
      <c r="P47" s="120" t="n"/>
      <c r="Q47" s="120" t="n"/>
      <c r="S47" s="120" t="inlineStr">
        <is>
          <t>1023 K</t>
        </is>
      </c>
      <c r="T47" t="inlineStr">
        <is>
          <t>1023 K</t>
        </is>
      </c>
      <c r="U47" s="120" t="inlineStr">
        <is>
          <t>1023 K</t>
        </is>
      </c>
      <c r="V47" s="120" t="inlineStr">
        <is>
          <t>1023 K</t>
        </is>
      </c>
      <c r="W47" s="120" t="inlineStr">
        <is>
          <t>1023 K</t>
        </is>
      </c>
      <c r="X47" s="120" t="n"/>
      <c r="Y47" s="120" t="n"/>
      <c r="AA47" s="120" t="inlineStr">
        <is>
          <t>1048 K</t>
        </is>
      </c>
      <c r="AB47" s="120" t="inlineStr">
        <is>
          <t>1048 K</t>
        </is>
      </c>
      <c r="AC47" t="inlineStr">
        <is>
          <t>1048 K</t>
        </is>
      </c>
      <c r="AD47" s="120" t="inlineStr">
        <is>
          <t>1048 K</t>
        </is>
      </c>
      <c r="AE47" s="120" t="inlineStr">
        <is>
          <t>1048 K</t>
        </is>
      </c>
      <c r="AF47" s="120" t="n"/>
      <c r="AG47" s="120" t="n"/>
      <c r="AI47" s="120" t="inlineStr">
        <is>
          <t>1073 K</t>
        </is>
      </c>
      <c r="AJ47" s="120" t="inlineStr">
        <is>
          <t>1073 K</t>
        </is>
      </c>
      <c r="AK47" s="120" t="inlineStr">
        <is>
          <t>1073 K</t>
        </is>
      </c>
      <c r="AL47" t="inlineStr">
        <is>
          <t>1073 K</t>
        </is>
      </c>
      <c r="AM47" s="120" t="inlineStr">
        <is>
          <t>1073 K</t>
        </is>
      </c>
      <c r="AQ47" s="120" t="inlineStr">
        <is>
          <t>1098 K</t>
        </is>
      </c>
      <c r="AR47" s="120" t="inlineStr">
        <is>
          <t>1098 K</t>
        </is>
      </c>
      <c r="AS47" s="120" t="inlineStr">
        <is>
          <t>1098 K</t>
        </is>
      </c>
      <c r="AT47" t="inlineStr">
        <is>
          <t>1098 K</t>
        </is>
      </c>
      <c r="AU47" t="inlineStr">
        <is>
          <t>1098 K</t>
        </is>
      </c>
      <c r="AY47" s="120" t="inlineStr">
        <is>
          <t>1123 K</t>
        </is>
      </c>
      <c r="AZ47" s="120" t="inlineStr">
        <is>
          <t>1123 K</t>
        </is>
      </c>
      <c r="BA47" s="120" t="inlineStr">
        <is>
          <t>1123 K</t>
        </is>
      </c>
      <c r="BB47" s="120" t="inlineStr">
        <is>
          <t>1123 K</t>
        </is>
      </c>
      <c r="BC47" t="inlineStr">
        <is>
          <t>1123 K</t>
        </is>
      </c>
    </row>
    <row r="48">
      <c r="C48" s="120" t="n"/>
      <c r="D48" s="120" t="n"/>
      <c r="E48" s="120" t="n"/>
      <c r="F48" s="120" t="n"/>
      <c r="G48" s="120" t="n"/>
      <c r="H48" s="120" t="n"/>
      <c r="I48" s="120" t="n"/>
      <c r="L48" s="120" t="n"/>
      <c r="M48" s="120" t="n"/>
      <c r="N48" s="120" t="n"/>
      <c r="O48" s="120" t="n"/>
      <c r="P48" s="120" t="n"/>
      <c r="Q48" s="120" t="n"/>
      <c r="S48" s="120" t="n"/>
      <c r="U48" s="120" t="n"/>
      <c r="V48" s="120" t="n"/>
      <c r="W48" s="120" t="n"/>
      <c r="X48" s="120" t="n"/>
      <c r="Y48" s="120" t="n"/>
      <c r="AA48" s="120" t="n"/>
      <c r="AB48" s="120" t="n"/>
      <c r="AD48" s="120" t="n"/>
      <c r="AE48" s="120" t="n"/>
      <c r="AF48" s="120" t="n"/>
      <c r="AG48" s="120" t="n"/>
      <c r="AI48" s="120" t="n"/>
      <c r="AJ48" s="120" t="n"/>
      <c r="AK48" s="120" t="n"/>
      <c r="AM48" s="120" t="n"/>
      <c r="AQ48" s="120" t="n"/>
      <c r="AR48" s="120" t="n"/>
      <c r="AS48" s="120" t="n"/>
      <c r="AY48" s="120" t="n"/>
      <c r="AZ48" s="120" t="n"/>
      <c r="BA48" s="120" t="n"/>
      <c r="BB48" s="120" t="n"/>
    </row>
    <row r="49">
      <c r="C49" s="120" t="n">
        <v>0.5</v>
      </c>
      <c r="D49" s="120" t="n">
        <v>0.525</v>
      </c>
      <c r="E49" s="120" t="n">
        <v>0.55</v>
      </c>
      <c r="F49" s="120" t="n">
        <v>0.575</v>
      </c>
      <c r="G49" s="120" t="n">
        <v>0.6</v>
      </c>
      <c r="H49" s="120" t="n"/>
      <c r="I49" s="120" t="n"/>
      <c r="K49" t="n">
        <v>0.5</v>
      </c>
      <c r="L49" s="120" t="n">
        <v>0.525</v>
      </c>
      <c r="M49" s="120" t="n">
        <v>0.55</v>
      </c>
      <c r="N49" s="120" t="n">
        <v>0.575</v>
      </c>
      <c r="O49" s="120" t="n">
        <v>0.6</v>
      </c>
      <c r="P49" s="120" t="n"/>
      <c r="Q49" s="120" t="n"/>
      <c r="S49" s="120" t="n">
        <v>0.5</v>
      </c>
      <c r="T49" t="n">
        <v>0.525</v>
      </c>
      <c r="U49" s="120" t="n">
        <v>0.55</v>
      </c>
      <c r="V49" s="120" t="n">
        <v>0.575</v>
      </c>
      <c r="W49" s="120" t="n">
        <v>0.6</v>
      </c>
      <c r="X49" s="120" t="n"/>
      <c r="Y49" s="120" t="n"/>
      <c r="AA49" s="120" t="n">
        <v>0.5</v>
      </c>
      <c r="AB49" s="120" t="n">
        <v>0.525</v>
      </c>
      <c r="AC49" t="n">
        <v>0.55</v>
      </c>
      <c r="AD49" s="120" t="n">
        <v>0.575</v>
      </c>
      <c r="AE49" s="120" t="n">
        <v>0.6</v>
      </c>
      <c r="AF49" s="120" t="n"/>
      <c r="AG49" s="120" t="n"/>
      <c r="AI49" s="120" t="n">
        <v>0.5</v>
      </c>
      <c r="AJ49" s="120" t="n">
        <v>0.525</v>
      </c>
      <c r="AK49" s="120" t="n">
        <v>0.55</v>
      </c>
      <c r="AL49" t="n">
        <v>0.575</v>
      </c>
      <c r="AM49" s="120" t="n">
        <v>0.6</v>
      </c>
      <c r="AQ49" s="120" t="n">
        <v>0.5</v>
      </c>
      <c r="AR49" s="120" t="n">
        <v>0.525</v>
      </c>
      <c r="AS49" s="120" t="n">
        <v>0.55</v>
      </c>
      <c r="AT49" t="n">
        <v>0.575</v>
      </c>
      <c r="AU49" t="n">
        <v>0.6</v>
      </c>
      <c r="AY49" s="120" t="n">
        <v>0.5</v>
      </c>
      <c r="AZ49" s="120" t="n">
        <v>0.525</v>
      </c>
      <c r="BA49" s="120" t="n">
        <v>0.55</v>
      </c>
      <c r="BB49" s="120" t="n">
        <v>0.575</v>
      </c>
      <c r="BC49" t="n">
        <v>0.6</v>
      </c>
    </row>
    <row r="50">
      <c r="C50" s="120" t="n">
        <v>0.5</v>
      </c>
      <c r="D50" s="120" t="n">
        <v>0.475</v>
      </c>
      <c r="E50" s="120" t="n">
        <v>0.45</v>
      </c>
      <c r="F50" s="120" t="n">
        <v>0.425</v>
      </c>
      <c r="G50" s="120" t="n">
        <v>0.4</v>
      </c>
      <c r="H50" s="120" t="n"/>
      <c r="I50" s="120" t="n"/>
      <c r="K50" t="n">
        <v>0.5</v>
      </c>
      <c r="L50" s="120" t="n">
        <v>0.475</v>
      </c>
      <c r="M50" s="120" t="n">
        <v>0.45</v>
      </c>
      <c r="N50" s="120" t="n">
        <v>0.425</v>
      </c>
      <c r="O50" s="120" t="n">
        <v>0.4</v>
      </c>
      <c r="P50" s="120" t="n"/>
      <c r="Q50" s="120" t="n"/>
      <c r="S50" s="120" t="n">
        <v>0.5</v>
      </c>
      <c r="T50" t="n">
        <v>0.475</v>
      </c>
      <c r="U50" s="120" t="n">
        <v>0.45</v>
      </c>
      <c r="V50" s="120" t="n">
        <v>0.425</v>
      </c>
      <c r="W50" s="120" t="n">
        <v>0.4</v>
      </c>
      <c r="X50" s="120" t="n"/>
      <c r="Y50" s="120" t="n"/>
      <c r="AA50" s="120" t="n">
        <v>0.5</v>
      </c>
      <c r="AB50" s="120" t="n">
        <v>0.475</v>
      </c>
      <c r="AC50" t="n">
        <v>0.45</v>
      </c>
      <c r="AD50" s="120" t="n">
        <v>0.425</v>
      </c>
      <c r="AE50" s="120" t="n">
        <v>0.4</v>
      </c>
      <c r="AF50" s="120" t="n"/>
      <c r="AG50" s="120" t="n"/>
      <c r="AI50" s="120" t="n">
        <v>0.5</v>
      </c>
      <c r="AJ50" s="120" t="n">
        <v>0.475</v>
      </c>
      <c r="AK50" s="120" t="n">
        <v>0.45</v>
      </c>
      <c r="AL50" t="n">
        <v>0.425</v>
      </c>
      <c r="AM50" s="120" t="n">
        <v>0.4</v>
      </c>
      <c r="AQ50" s="120" t="n">
        <v>0.5</v>
      </c>
      <c r="AR50" s="120" t="n">
        <v>0.475</v>
      </c>
      <c r="AS50" s="120" t="n">
        <v>0.45</v>
      </c>
      <c r="AT50" t="n">
        <v>0.425</v>
      </c>
      <c r="AU50" t="n">
        <v>0.4</v>
      </c>
      <c r="AY50" s="120" t="n">
        <v>0.5</v>
      </c>
      <c r="AZ50" s="120" t="n">
        <v>0.475</v>
      </c>
      <c r="BA50" s="120" t="n">
        <v>0.45</v>
      </c>
      <c r="BB50" s="120" t="n">
        <v>0.425</v>
      </c>
      <c r="BC50" t="n">
        <v>0.4</v>
      </c>
    </row>
    <row r="51">
      <c r="C51" s="120" t="n">
        <v>2.052453556718754</v>
      </c>
      <c r="D51" s="120" t="n">
        <v>2.267802415765033</v>
      </c>
      <c r="E51" s="120" t="n">
        <v>2.509141755141424</v>
      </c>
      <c r="F51" s="120" t="n">
        <v>2.781491444784843</v>
      </c>
      <c r="G51" s="120" t="n">
        <v>3.091181543588302</v>
      </c>
      <c r="H51" s="120" t="n"/>
      <c r="I51" s="120" t="n"/>
      <c r="K51" s="126" t="n">
        <v>1.851934649519887</v>
      </c>
      <c r="L51" s="120" t="n">
        <v>2.042728749265387</v>
      </c>
      <c r="M51" s="120" t="n">
        <v>2.255628222612294</v>
      </c>
      <c r="N51" s="120" t="n">
        <v>2.494755276942328</v>
      </c>
      <c r="O51" s="120" t="n">
        <v>2.76528167310002</v>
      </c>
      <c r="P51" s="120" t="n"/>
      <c r="Q51" s="120" t="n"/>
      <c r="S51" s="120" t="n">
        <v>1.687397881171018</v>
      </c>
      <c r="T51" s="126" t="n">
        <v>1.858589792458427</v>
      </c>
      <c r="U51" s="120" t="n">
        <v>2.048988692101275</v>
      </c>
      <c r="V51" s="120" t="n">
        <v>2.262035609213426</v>
      </c>
      <c r="W51" s="120" t="n">
        <v>2.502039423382232</v>
      </c>
      <c r="X51" s="120" t="n"/>
      <c r="Y51" s="120" t="n"/>
      <c r="AA51" s="120" t="n">
        <v>1.553203565805385</v>
      </c>
      <c r="AB51" s="120" t="n">
        <v>1.708346716118186</v>
      </c>
      <c r="AC51" s="126" t="n">
        <v>1.880551193539135</v>
      </c>
      <c r="AD51" s="120" t="n">
        <v>2.072742557785948</v>
      </c>
      <c r="AE51" s="120" t="n">
        <v>2.288578799283994</v>
      </c>
      <c r="AF51" s="120" t="n"/>
      <c r="AG51" s="120" t="n"/>
      <c r="AI51" s="120" t="n">
        <v>1.446152464131587</v>
      </c>
      <c r="AJ51" s="120" t="n">
        <v>1.587972913964239</v>
      </c>
      <c r="AK51" s="120" t="n">
        <v>1.745270496933264</v>
      </c>
      <c r="AL51" s="126" t="n">
        <v>1.920607651622609</v>
      </c>
      <c r="AM51" s="120" t="n">
        <v>2.117185377035747</v>
      </c>
      <c r="AQ51" s="120" t="n">
        <v>1.363914169372565</v>
      </c>
      <c r="AR51" s="120" t="n">
        <v>1.494915299474466</v>
      </c>
      <c r="AS51" s="120" t="n">
        <v>1.640218384324564</v>
      </c>
      <c r="AT51" s="126" t="n">
        <v>1.802181755912512</v>
      </c>
      <c r="AU51" s="126" t="n">
        <v>1.983744453926208</v>
      </c>
      <c r="AY51" s="120" t="n">
        <v>1.303631977937586</v>
      </c>
      <c r="AZ51" s="120" t="n">
        <v>1.426422499680358</v>
      </c>
      <c r="BA51" s="120" t="n">
        <v>1.562658639352182</v>
      </c>
      <c r="BB51" s="120" t="n">
        <v>1.714640221041011</v>
      </c>
      <c r="BC51" s="126" t="n">
        <v>1.885226224836421</v>
      </c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U32"/>
  <sheetViews>
    <sheetView zoomScaleNormal="100" workbookViewId="0">
      <selection activeCell="N14" sqref="N14:N15"/>
    </sheetView>
  </sheetViews>
  <sheetFormatPr baseColWidth="8" defaultRowHeight="12.75"/>
  <cols>
    <col width="9.140625" customWidth="1" style="104" min="1" max="1"/>
    <col width="31.42578125" customWidth="1" style="104" min="2" max="2"/>
    <col width="16" customWidth="1" style="104" min="3" max="8"/>
    <col width="9.140625" customWidth="1" style="104" min="9" max="13"/>
    <col width="8.42578125" customWidth="1" style="104" min="14" max="14"/>
    <col width="23.5703125" customWidth="1" style="104" min="15" max="15"/>
    <col width="10.7109375" customWidth="1" style="104" min="16" max="21"/>
    <col width="9.140625" customWidth="1" style="104" min="22" max="16384"/>
  </cols>
  <sheetData>
    <row r="2">
      <c r="A2" s="11" t="n"/>
      <c r="B2" s="112" t="inlineStr">
        <is>
          <t>Temperatura ( K ) =</t>
        </is>
      </c>
      <c r="C2" s="71" t="inlineStr">
        <is>
          <t>973 K</t>
        </is>
      </c>
      <c r="D2" s="71" t="inlineStr">
        <is>
          <t>998 K</t>
        </is>
      </c>
      <c r="E2" s="71" t="inlineStr">
        <is>
          <t>1023 K</t>
        </is>
      </c>
      <c r="F2" s="71" t="inlineStr">
        <is>
          <t>1048 K</t>
        </is>
      </c>
      <c r="G2" s="71" t="inlineStr">
        <is>
          <t>1098 K</t>
        </is>
      </c>
      <c r="H2" s="71" t="inlineStr">
        <is>
          <t>1123 K</t>
        </is>
      </c>
    </row>
    <row r="3" ht="15.75" customHeight="1" s="104">
      <c r="A3" s="13" t="inlineStr">
        <is>
          <t>F</t>
        </is>
      </c>
      <c r="B3" s="112" t="inlineStr">
        <is>
          <t>Pressão ( Pa ) =</t>
        </is>
      </c>
      <c r="C3" t="n">
        <v>101325</v>
      </c>
      <c r="D3" t="n">
        <v>101325</v>
      </c>
      <c r="E3" t="n">
        <v>101325</v>
      </c>
      <c r="F3" t="n">
        <v>101325</v>
      </c>
      <c r="G3" t="n">
        <v>101325</v>
      </c>
      <c r="H3" t="n">
        <v>101325</v>
      </c>
      <c r="P3" s="115" t="inlineStr">
        <is>
          <t>R1</t>
        </is>
      </c>
      <c r="Q3" s="115" t="inlineStr">
        <is>
          <t>R2</t>
        </is>
      </c>
      <c r="R3" s="115" t="inlineStr">
        <is>
          <t>R3</t>
        </is>
      </c>
      <c r="S3" s="115" t="inlineStr">
        <is>
          <t>R4</t>
        </is>
      </c>
      <c r="T3" s="115" t="inlineStr">
        <is>
          <t>R5</t>
        </is>
      </c>
      <c r="U3" s="115" t="inlineStr">
        <is>
          <t>R6</t>
        </is>
      </c>
    </row>
    <row r="4">
      <c r="A4" s="13" t="inlineStr">
        <is>
          <t>E</t>
        </is>
      </c>
      <c r="B4" s="112" t="inlineStr">
        <is>
          <t>“BIOGAS” Flow (mol/s) =</t>
        </is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O4" s="112" t="inlineStr">
        <is>
          <t>Temperatura ( K ) =</t>
        </is>
      </c>
      <c r="P4" s="113" t="inlineStr">
        <is>
          <t>973 K</t>
        </is>
      </c>
      <c r="Q4" s="113" t="inlineStr">
        <is>
          <t>998 K</t>
        </is>
      </c>
      <c r="R4" s="113" t="inlineStr">
        <is>
          <t>1023 K</t>
        </is>
      </c>
      <c r="S4" s="113" t="inlineStr">
        <is>
          <t>1048 K</t>
        </is>
      </c>
      <c r="T4" s="113" t="inlineStr">
        <is>
          <t>1098 K</t>
        </is>
      </c>
      <c r="U4" s="113" t="inlineStr">
        <is>
          <t>1123 K</t>
        </is>
      </c>
    </row>
    <row r="5">
      <c r="A5" s="13" t="inlineStr">
        <is>
          <t>E</t>
        </is>
      </c>
      <c r="O5" s="112" t="inlineStr">
        <is>
          <t>Pressão ( Pa ) =</t>
        </is>
      </c>
      <c r="P5" t="n">
        <v>101325</v>
      </c>
      <c r="Q5" t="n">
        <v>101325</v>
      </c>
      <c r="R5" t="n">
        <v>101325</v>
      </c>
      <c r="S5" t="n">
        <v>101325</v>
      </c>
      <c r="T5" t="n">
        <v>101325</v>
      </c>
      <c r="U5" t="n">
        <v>101325</v>
      </c>
    </row>
    <row r="6">
      <c r="A6" s="13" t="inlineStr">
        <is>
          <t>D</t>
        </is>
      </c>
      <c r="B6" s="22" t="inlineStr">
        <is>
          <t>Basis: MOLAR FRACTION</t>
        </is>
      </c>
      <c r="O6" s="112" t="inlineStr">
        <is>
          <t>“BIOGAS” Flow (mol/s) =</t>
        </is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</row>
    <row r="7" ht="15.75" customHeight="1" s="104">
      <c r="A7" s="13" t="n"/>
      <c r="B7" s="112" t="inlineStr">
        <is>
          <t>CH4/CO2 =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O7" s="112" t="inlineStr">
        <is>
          <t>CH4 (fração molar) =</t>
        </is>
      </c>
      <c r="P7" t="n">
        <v>0.5</v>
      </c>
      <c r="Q7" t="n">
        <v>0.5</v>
      </c>
      <c r="R7" t="n">
        <v>0.525</v>
      </c>
      <c r="S7" t="n">
        <v>0.55</v>
      </c>
      <c r="T7" t="n">
        <v>0.575</v>
      </c>
      <c r="U7" t="n">
        <v>0.6</v>
      </c>
    </row>
    <row r="8" ht="15.75" customHeight="1" s="104">
      <c r="A8" s="23" t="inlineStr">
        <is>
          <t>IN</t>
        </is>
      </c>
      <c r="B8" s="112" t="inlineStr">
        <is>
          <t>CH4 (fração molar) =</t>
        </is>
      </c>
      <c r="C8" t="n">
        <v>0.5</v>
      </c>
      <c r="D8" t="n">
        <v>0.5</v>
      </c>
      <c r="E8" t="n">
        <v>0.525</v>
      </c>
      <c r="F8" t="n">
        <v>0.55</v>
      </c>
      <c r="G8" t="n">
        <v>0.575</v>
      </c>
      <c r="H8" t="n">
        <v>0.6</v>
      </c>
      <c r="O8" s="112" t="inlineStr">
        <is>
          <t>CO2 (fração molar) =</t>
        </is>
      </c>
      <c r="P8" t="n">
        <v>0.5</v>
      </c>
      <c r="Q8" t="n">
        <v>0.5</v>
      </c>
      <c r="R8" t="n">
        <v>0.475</v>
      </c>
      <c r="S8" t="n">
        <v>0.45</v>
      </c>
      <c r="T8" t="n">
        <v>0.425</v>
      </c>
      <c r="U8" t="n">
        <v>0.4</v>
      </c>
    </row>
    <row r="9" ht="15.75" customHeight="1" s="104">
      <c r="A9" s="14" t="n"/>
      <c r="B9" s="112" t="inlineStr">
        <is>
          <t>CO2 (fração molar) =</t>
        </is>
      </c>
      <c r="C9" t="n">
        <v>0.5</v>
      </c>
      <c r="D9" t="n">
        <v>0.5</v>
      </c>
      <c r="E9" t="n">
        <v>0.475</v>
      </c>
      <c r="F9" t="n">
        <v>0.45</v>
      </c>
      <c r="G9" t="n">
        <v>0.425</v>
      </c>
      <c r="H9" t="n">
        <v>0.4</v>
      </c>
    </row>
    <row r="10" ht="15.75" customHeight="1" s="104">
      <c r="C10" s="113" t="n"/>
      <c r="D10" s="113" t="n"/>
      <c r="E10" s="113" t="n"/>
      <c r="F10" s="113" t="n"/>
      <c r="G10" s="113" t="n"/>
      <c r="H10" s="113" t="n"/>
      <c r="O10" s="112" t="inlineStr">
        <is>
          <t>H2 (mol/s)</t>
        </is>
      </c>
      <c r="P10" s="155" t="n">
        <v>0.0072793537</v>
      </c>
      <c r="Q10" s="155" t="n">
        <v>0.007540161</v>
      </c>
      <c r="R10" s="155" t="n">
        <v>0.0082851963</v>
      </c>
      <c r="S10" s="155" t="n">
        <v>0.0090487234</v>
      </c>
      <c r="T10" s="155" t="n">
        <v>0.010040151</v>
      </c>
      <c r="U10" s="155" t="n">
        <v>0.010786431</v>
      </c>
    </row>
    <row r="11">
      <c r="A11" s="24" t="n"/>
      <c r="B11" s="22" t="inlineStr">
        <is>
          <t>Basis: MOLAR FLOW</t>
        </is>
      </c>
      <c r="C11" s="149" t="n"/>
      <c r="D11" s="149" t="n"/>
      <c r="E11" s="149" t="n"/>
      <c r="F11" s="149" t="n"/>
      <c r="G11" s="149" t="n"/>
      <c r="H11" s="149" t="n"/>
      <c r="O11" s="112" t="inlineStr">
        <is>
          <t>CO (mol/s)</t>
        </is>
      </c>
      <c r="P11" s="155" t="n">
        <v>0.0035466594</v>
      </c>
      <c r="Q11" s="155" t="n">
        <v>0.0040715049</v>
      </c>
      <c r="R11" s="155" t="n">
        <v>0.0044577864</v>
      </c>
      <c r="S11" s="155" t="n">
        <v>0.00481174</v>
      </c>
      <c r="T11" s="155" t="n">
        <v>0.005571109</v>
      </c>
      <c r="U11" s="155" t="n">
        <v>0.0057215579</v>
      </c>
    </row>
    <row r="12" ht="16.5" customHeight="1" s="104">
      <c r="A12" s="13" t="inlineStr">
        <is>
          <t>P</t>
        </is>
      </c>
      <c r="B12" s="112" t="inlineStr">
        <is>
          <t>CH4 ( mol/s )</t>
        </is>
      </c>
      <c r="C12" s="156" t="n">
        <v>0.00011262527</v>
      </c>
      <c r="D12" s="156" t="n">
        <v>7.644734299999999e-05</v>
      </c>
      <c r="E12" s="156" t="n">
        <v>5.8984392e-05</v>
      </c>
      <c r="F12" s="156" t="n">
        <v>4.619288e-05</v>
      </c>
      <c r="G12" s="156" t="n">
        <v>2.5946947e-05</v>
      </c>
      <c r="H12" s="156" t="n">
        <v>2.0931972e-05</v>
      </c>
      <c r="O12" s="116" t="inlineStr">
        <is>
          <t>H2/CO</t>
        </is>
      </c>
      <c r="P12" s="157" t="n">
        <v>2.052453556718754</v>
      </c>
      <c r="Q12" s="157" t="n">
        <v>1.851934649519887</v>
      </c>
      <c r="R12" s="157" t="n">
        <v>1.858589792458427</v>
      </c>
      <c r="S12" s="157" t="n">
        <v>1.880551193539135</v>
      </c>
      <c r="T12" s="157" t="n">
        <v>1.802181755912512</v>
      </c>
      <c r="U12" s="157" t="n">
        <v>1.885226224836421</v>
      </c>
    </row>
    <row r="13" ht="15.75" customHeight="1" s="104">
      <c r="A13" s="13" t="inlineStr">
        <is>
          <t>R</t>
        </is>
      </c>
      <c r="B13" s="112" t="inlineStr">
        <is>
          <t>CO2 ( mol/s)</t>
        </is>
      </c>
      <c r="C13" s="156" t="n">
        <v>0.0019789724</v>
      </c>
      <c r="D13" s="156" t="n">
        <v>0.0018107754</v>
      </c>
      <c r="E13" s="156" t="n">
        <v>0.0014726894</v>
      </c>
      <c r="F13" s="156" t="n">
        <v>0.0011646846</v>
      </c>
      <c r="G13" s="156" t="n">
        <v>0.00076046807</v>
      </c>
      <c r="H13" s="156" t="n">
        <v>0.00055336837</v>
      </c>
    </row>
    <row r="14">
      <c r="A14" s="75" t="inlineStr">
        <is>
          <t>O</t>
        </is>
      </c>
      <c r="B14" s="74" t="inlineStr">
        <is>
          <t>CO (mol/s)</t>
        </is>
      </c>
      <c r="C14" s="156" t="n">
        <v>0.0035466594</v>
      </c>
      <c r="D14" s="156" t="n">
        <v>0.0040715049</v>
      </c>
      <c r="E14" s="156" t="n">
        <v>0.0044577864</v>
      </c>
      <c r="F14" s="156" t="n">
        <v>0.00481174</v>
      </c>
      <c r="G14" s="156" t="n">
        <v>0.005571109</v>
      </c>
      <c r="H14" s="156" t="n">
        <v>0.0057215579</v>
      </c>
    </row>
    <row r="15" ht="15.75" customHeight="1" s="104">
      <c r="A15" s="13" t="inlineStr">
        <is>
          <t>D</t>
        </is>
      </c>
      <c r="B15" s="112" t="inlineStr">
        <is>
          <t>H2O ( mol/s)</t>
        </is>
      </c>
      <c r="C15" s="156" t="n">
        <v>0.0024953959</v>
      </c>
      <c r="D15" s="156" t="n">
        <v>0.0023069445</v>
      </c>
      <c r="E15" s="156" t="n">
        <v>0.0020968351</v>
      </c>
      <c r="F15" s="156" t="n">
        <v>0.0018588911</v>
      </c>
      <c r="G15" s="156" t="n">
        <v>0.0014079551</v>
      </c>
      <c r="H15" s="156" t="n">
        <v>0.0011717056</v>
      </c>
    </row>
    <row r="16">
      <c r="A16" s="19" t="n"/>
      <c r="B16" s="112" t="inlineStr">
        <is>
          <t>C ( mol/s)</t>
        </is>
      </c>
      <c r="C16" s="156" t="n">
        <v>0.0043617431</v>
      </c>
      <c r="D16" s="156" t="n">
        <v>0.0040412726</v>
      </c>
      <c r="E16" s="156" t="n">
        <v>0.0040105401</v>
      </c>
      <c r="F16" s="156" t="n">
        <v>0.0039773828</v>
      </c>
      <c r="G16" s="156" t="n">
        <v>0.0036424762</v>
      </c>
      <c r="H16" s="156" t="n">
        <v>0.003704142</v>
      </c>
    </row>
    <row r="17" ht="15.75" customHeight="1" s="104">
      <c r="A17" s="75" t="n"/>
      <c r="B17" s="74" t="inlineStr">
        <is>
          <t>H2 (mol/s)</t>
        </is>
      </c>
      <c r="C17" s="156" t="n">
        <v>0.0072793537</v>
      </c>
      <c r="D17" s="156" t="n">
        <v>0.007540161</v>
      </c>
      <c r="E17" s="156" t="n">
        <v>0.0082851963</v>
      </c>
      <c r="F17" s="156" t="n">
        <v>0.0090487234</v>
      </c>
      <c r="G17" s="156" t="n">
        <v>0.010040151</v>
      </c>
      <c r="H17" s="156" t="n">
        <v>0.010786431</v>
      </c>
    </row>
    <row r="18" ht="16.5" customHeight="1" s="104">
      <c r="A18" s="29" t="inlineStr">
        <is>
          <t>OUT</t>
        </is>
      </c>
      <c r="B18" s="30" t="inlineStr">
        <is>
          <t>OUT Molar Flow (mol/s) =</t>
        </is>
      </c>
      <c r="C18" s="158">
        <f>SUM(C12:C17)</f>
        <v/>
      </c>
      <c r="D18" s="158">
        <f>SUM(D12:D17)</f>
        <v/>
      </c>
      <c r="E18" s="158">
        <f>SUM(E12:E17)</f>
        <v/>
      </c>
      <c r="F18" s="158">
        <f>SUM(F12:F17)</f>
        <v/>
      </c>
      <c r="G18" s="158">
        <f>SUM(G12:G17)</f>
        <v/>
      </c>
      <c r="H18" s="158">
        <f>SUM(H12:H17)</f>
        <v/>
      </c>
    </row>
    <row r="19">
      <c r="C19" s="159" t="n"/>
      <c r="D19" s="159" t="n"/>
      <c r="E19" s="159" t="n"/>
      <c r="F19" s="159" t="n"/>
      <c r="G19" s="159" t="n"/>
      <c r="H19" s="159" t="n"/>
    </row>
    <row r="20">
      <c r="A20" s="11" t="inlineStr">
        <is>
          <t>P</t>
        </is>
      </c>
      <c r="B20" t="inlineStr">
        <is>
          <t>Reaction Coordinate  DRM (mol/s)</t>
        </is>
      </c>
      <c r="C20" s="156" t="n">
        <v>2.35605e-06</v>
      </c>
      <c r="D20" s="156" t="n">
        <v>2.40789e-06</v>
      </c>
      <c r="E20" s="156" t="n">
        <v>2.55704e-06</v>
      </c>
      <c r="F20" s="156" t="n">
        <v>2.69959e-06</v>
      </c>
      <c r="G20" s="156" t="n">
        <v>2.85077e-06</v>
      </c>
      <c r="H20" s="156" t="n">
        <v>2.98304e-06</v>
      </c>
    </row>
    <row r="21">
      <c r="A21" s="13" t="n"/>
      <c r="B21" s="110" t="inlineStr">
        <is>
          <t xml:space="preserve">CH₄ + CO₂ ⇌ 2CO + 2H₂ </t>
        </is>
      </c>
      <c r="C21" s="160" t="n"/>
      <c r="D21" s="160" t="n"/>
      <c r="E21" s="160" t="n"/>
      <c r="F21" s="160" t="n"/>
      <c r="G21" s="160" t="n"/>
      <c r="H21" s="160" t="n"/>
    </row>
    <row r="22">
      <c r="A22" s="13" t="inlineStr">
        <is>
          <t>R</t>
        </is>
      </c>
      <c r="C22" s="160" t="n"/>
      <c r="D22" s="160" t="n"/>
      <c r="E22" s="160" t="n"/>
      <c r="F22" s="160" t="n"/>
      <c r="G22" s="160" t="n"/>
      <c r="H22" s="160" t="n"/>
    </row>
    <row r="23">
      <c r="A23" s="13" t="n"/>
      <c r="B23" t="inlineStr">
        <is>
          <t>Reaction Coordinate RWGS (mol/s)</t>
        </is>
      </c>
      <c r="C23" s="156" t="n">
        <v>3.02103e-06</v>
      </c>
      <c r="D23" s="156" t="n">
        <v>3.18922e-06</v>
      </c>
      <c r="E23" s="156" t="n">
        <v>3.27731e-06</v>
      </c>
      <c r="F23" s="156" t="n">
        <v>3.33532e-06</v>
      </c>
      <c r="G23" s="156" t="n">
        <v>3.48953e-06</v>
      </c>
      <c r="H23" s="156" t="n">
        <v>3.44663e-06</v>
      </c>
    </row>
    <row r="24">
      <c r="A24" s="13" t="inlineStr">
        <is>
          <t>F</t>
        </is>
      </c>
      <c r="B24" s="110" t="inlineStr">
        <is>
          <t xml:space="preserve">CO₂ + H₂ ⇌ CO + H₂O </t>
        </is>
      </c>
      <c r="C24" s="160" t="n"/>
      <c r="D24" s="160" t="n"/>
      <c r="E24" s="160" t="n"/>
      <c r="F24" s="160" t="n"/>
      <c r="G24" s="160" t="n"/>
      <c r="H24" s="160" t="n"/>
    </row>
    <row r="25">
      <c r="A25" s="13" t="n"/>
      <c r="C25" s="160" t="n"/>
      <c r="D25" s="160" t="n"/>
      <c r="E25" s="160" t="n"/>
      <c r="F25" s="160" t="n"/>
      <c r="G25" s="161" t="n"/>
      <c r="H25" s="161" t="n"/>
    </row>
    <row r="26">
      <c r="A26" s="13" t="n"/>
      <c r="B26" t="inlineStr">
        <is>
          <t>Reaction Coordinate DM (mol/s)</t>
        </is>
      </c>
      <c r="C26" s="156" t="n">
        <v>2.53132e-06</v>
      </c>
      <c r="D26" s="156" t="n">
        <v>2.51566e-06</v>
      </c>
      <c r="E26" s="156" t="n">
        <v>2.63397e-06</v>
      </c>
      <c r="F26" s="156" t="n">
        <v>2.75422e-06</v>
      </c>
      <c r="G26" s="156" t="n">
        <v>2.87328e-06</v>
      </c>
      <c r="H26" s="156" t="n">
        <v>2.99603e-06</v>
      </c>
    </row>
    <row r="27">
      <c r="A27" s="13" t="inlineStr">
        <is>
          <t>-</t>
        </is>
      </c>
      <c r="B27" s="110" t="inlineStr">
        <is>
          <t xml:space="preserve">CH₄ ⇌ C(s) + 2H₂ </t>
        </is>
      </c>
    </row>
    <row r="28">
      <c r="A28" s="19" t="n"/>
    </row>
    <row r="29" ht="15.75" customHeight="1" s="104">
      <c r="A29" s="13" t="n">
        <v>1</v>
      </c>
      <c r="B29" s="112" t="inlineStr">
        <is>
          <t>Convertion CH4 (%)</t>
        </is>
      </c>
      <c r="C29" s="106" t="n">
        <v>97.7475</v>
      </c>
      <c r="D29" s="106" t="n">
        <v>98.47110000000001</v>
      </c>
      <c r="E29" s="106" t="n">
        <v>98.87649999999999</v>
      </c>
      <c r="F29" s="106" t="n">
        <v>99.1601</v>
      </c>
      <c r="G29" s="106" t="n">
        <v>99.5487</v>
      </c>
      <c r="H29" s="106" t="n">
        <v>99.6511</v>
      </c>
    </row>
    <row r="30" ht="15.75" customHeight="1" s="104">
      <c r="A30" s="20" t="n"/>
      <c r="B30" s="112" t="inlineStr">
        <is>
          <t>Convertion CO2 (%)</t>
        </is>
      </c>
      <c r="C30" s="106" t="n">
        <v>60.4206</v>
      </c>
      <c r="D30" s="106" t="n">
        <v>63.7845</v>
      </c>
      <c r="E30" s="106" t="n">
        <v>68.996</v>
      </c>
      <c r="F30" s="106" t="n">
        <v>74.1181</v>
      </c>
      <c r="G30" s="106" t="n">
        <v>82.1066</v>
      </c>
      <c r="H30" s="106" t="n">
        <v>86.1658</v>
      </c>
    </row>
    <row r="31">
      <c r="B31" s="112" t="inlineStr">
        <is>
          <t>Selec ( C )</t>
        </is>
      </c>
      <c r="C31" s="153">
        <f>C26/(C20+C26)</f>
        <v/>
      </c>
      <c r="D31" s="153">
        <f>D26/(D20+D26)</f>
        <v/>
      </c>
      <c r="E31" s="153">
        <f>E26/(E20+E26)</f>
        <v/>
      </c>
      <c r="F31" s="153">
        <f>F26/(F20+F26)</f>
        <v/>
      </c>
      <c r="G31" s="153">
        <f>G26/(G20+G26)</f>
        <v/>
      </c>
      <c r="H31" s="153">
        <f>H26/(H20+H26)</f>
        <v/>
      </c>
    </row>
    <row r="32" ht="15.75" customHeight="1" s="104">
      <c r="A32" s="58" t="n"/>
      <c r="B32" s="74" t="inlineStr">
        <is>
          <t>H2 / CO</t>
        </is>
      </c>
      <c r="C32" s="153">
        <f>C17/C14</f>
        <v/>
      </c>
      <c r="D32" s="153">
        <f>D17/D14</f>
        <v/>
      </c>
      <c r="E32" s="153">
        <f>E17/E14</f>
        <v/>
      </c>
      <c r="F32" s="153">
        <f>F17/F14</f>
        <v/>
      </c>
      <c r="G32" s="153">
        <f>G17/G14</f>
        <v/>
      </c>
      <c r="H32" s="153">
        <f>H17/H14</f>
        <v/>
      </c>
    </row>
  </sheetData>
  <pageMargins left="0.511811024" right="0.511811024" top="0.787401575" bottom="0.787401575" header="0.31496062" footer="0.31496062"/>
  <pageSetup orientation="landscape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8" customWidth="1" style="104" min="1" max="1"/>
    <col width="52" customWidth="1" style="104" min="2" max="2"/>
    <col width="14" customWidth="1" style="104" min="3" max="3"/>
    <col width="10" customWidth="1" style="104" min="4" max="4"/>
    <col width="14" customWidth="1" style="104" min="5" max="5"/>
    <col width="16" customWidth="1" style="104" min="6" max="6"/>
    <col width="10" customWidth="1" style="104" min="7" max="7"/>
    <col width="10" customWidth="1" style="104" min="8" max="8"/>
    <col width="12" customWidth="1" style="104" min="9" max="9"/>
    <col width="10" customWidth="1" style="104" min="10" max="10"/>
    <col width="14" customWidth="1" style="104" min="11" max="11"/>
    <col width="14" customWidth="1" style="104" min="12" max="12"/>
    <col width="14" customWidth="1" style="104" min="13" max="13"/>
    <col width="14" customWidth="1" style="104" min="14" max="14"/>
    <col width="14" customWidth="1" style="104" min="15" max="15"/>
    <col width="14" customWidth="1" style="104" min="16" max="16"/>
    <col width="14" customWidth="1" style="104" min="17" max="17"/>
    <col width="12" customWidth="1" style="104" min="18" max="18"/>
    <col width="14" customWidth="1" style="104" min="19" max="19"/>
    <col width="14" customWidth="1" style="104" min="20" max="20"/>
    <col width="14" customWidth="1" style="104" min="21" max="21"/>
    <col width="16" customWidth="1" style="104" min="22" max="22"/>
  </cols>
  <sheetData>
    <row r="1">
      <c r="A1" s="162" t="inlineStr">
        <is>
          <t>SEIS ESCOLHIDOS PARA ACOPLAMENTO RSB–SFT</t>
        </is>
      </c>
    </row>
    <row r="3">
      <c r="A3" s="163" t="inlineStr">
        <is>
          <t>Origem dos dados: aba '101325 Pa EXP (49)' de RSB_Results.xlsx.</t>
        </is>
      </c>
    </row>
    <row r="4">
      <c r="A4" s="164" t="inlineStr">
        <is>
          <t>Filtro inicial: somente composições intermediárias CH4 = 0,50; 0,525; 0,55; 0,575; 0,60.</t>
        </is>
      </c>
    </row>
    <row r="5">
      <c r="A5" s="164" t="inlineStr">
        <is>
          <t>Faixa-alvo vinda da SFT: limite inferior = 1,80; centro = 1,90; limite superior = 2,00.</t>
        </is>
      </c>
    </row>
    <row r="6">
      <c r="A6" s="164" t="inlineStr">
        <is>
          <t>R1: CH4=0,50 e H2/CO&gt;2,00; escolher o mais próximo de 2,00 (âncora superior).</t>
        </is>
      </c>
    </row>
    <row r="7">
      <c r="A7" s="164" t="inlineStr">
        <is>
          <t>R2: CH4=0,50 e 1,80&lt;=H2/CO&lt;=2,00; escolher o mais próximo de 1,90.</t>
        </is>
      </c>
    </row>
    <row r="8">
      <c r="A8" s="164" t="inlineStr">
        <is>
          <t>R3: CH4=0,525; escolher o mais próximo de 1,90.</t>
        </is>
      </c>
    </row>
    <row r="9">
      <c r="A9" s="164" t="inlineStr">
        <is>
          <t>R4: CH4=0,55; escolher o mais próximo de 1,90.</t>
        </is>
      </c>
    </row>
    <row r="10">
      <c r="A10" s="164" t="inlineStr">
        <is>
          <t>R5: CH4=0,575 e H2/CO&gt;=1,80; escolher o mais próximo de 1,80 (âncora inferior).</t>
        </is>
      </c>
    </row>
    <row r="11">
      <c r="A11" s="164" t="inlineStr">
        <is>
          <t>R6: CH4=0,60; escolher o mais próximo de 1,90.</t>
        </is>
      </c>
    </row>
    <row r="12">
      <c r="A12" s="164" t="inlineStr">
        <is>
          <t>Justificativa do critério: reproduzir exatamente um conjunto com borda superior, região central e borda inferior da faixa promissora.</t>
        </is>
      </c>
    </row>
    <row r="15">
      <c r="A15" s="165" t="inlineStr">
        <is>
          <t>Caso</t>
        </is>
      </c>
      <c r="B15" s="165" t="inlineStr">
        <is>
          <t>Regra aplicada</t>
        </is>
      </c>
      <c r="C15" s="165" t="inlineStr">
        <is>
          <t>Coluna origem</t>
        </is>
      </c>
      <c r="D15" s="165" t="inlineStr">
        <is>
          <t>T (K)</t>
        </is>
      </c>
      <c r="E15" s="165" t="inlineStr">
        <is>
          <t>P (Pa)</t>
        </is>
      </c>
      <c r="F15" s="165" t="inlineStr">
        <is>
          <t>Biogás (mol/s)</t>
        </is>
      </c>
      <c r="G15" s="165" t="inlineStr">
        <is>
          <t>CH4</t>
        </is>
      </c>
      <c r="H15" s="165" t="inlineStr">
        <is>
          <t>CO2</t>
        </is>
      </c>
      <c r="I15" s="165" t="inlineStr">
        <is>
          <t>H2/CO</t>
        </is>
      </c>
      <c r="J15" s="165" t="inlineStr">
        <is>
          <t>Alvo</t>
        </is>
      </c>
      <c r="K15" s="165" t="inlineStr">
        <is>
          <t>|H2/CO - alvo|</t>
        </is>
      </c>
      <c r="L15" s="165" t="inlineStr">
        <is>
          <t>CO (mol/s)</t>
        </is>
      </c>
      <c r="M15" s="165" t="inlineStr">
        <is>
          <t>H2 (mol/s)</t>
        </is>
      </c>
      <c r="N15" s="165" t="inlineStr">
        <is>
          <t>H2O (mol/s)</t>
        </is>
      </c>
      <c r="O15" s="165" t="inlineStr">
        <is>
          <t>C (mol/s)</t>
        </is>
      </c>
      <c r="P15" s="165" t="inlineStr">
        <is>
          <t>Conv. CH4 (%)</t>
        </is>
      </c>
      <c r="Q15" s="165" t="inlineStr">
        <is>
          <t>Conv. CO2 (%)</t>
        </is>
      </c>
      <c r="R15" s="165" t="inlineStr">
        <is>
          <t>Selec(C)</t>
        </is>
      </c>
      <c r="S15" s="165" t="inlineStr">
        <is>
          <t>DRM (mol/s)</t>
        </is>
      </c>
      <c r="T15" s="165" t="inlineStr">
        <is>
          <t>RWGS (mol/s)</t>
        </is>
      </c>
      <c r="U15" s="165" t="inlineStr">
        <is>
          <t>DM (mol/s)</t>
        </is>
      </c>
      <c r="V15" s="165" t="inlineStr">
        <is>
          <t>OUT total (mol/s)</t>
        </is>
      </c>
    </row>
    <row r="16">
      <c r="A16" s="166" t="inlineStr">
        <is>
          <t>R1</t>
        </is>
      </c>
      <c r="B16" s="166" t="inlineStr">
        <is>
          <t>CH4=0,50; H2/CO&gt;2,00; menor |H2/CO-2,00|</t>
        </is>
      </c>
      <c r="C16" s="166" t="inlineStr">
        <is>
          <t>C</t>
        </is>
      </c>
      <c r="D16" s="167" t="n">
        <v>973</v>
      </c>
      <c r="E16" s="167" t="n">
        <v>101325</v>
      </c>
      <c r="F16" s="168" t="n">
        <v>0.01</v>
      </c>
      <c r="G16" s="168" t="n">
        <v>0.5</v>
      </c>
      <c r="H16" s="168" t="n">
        <v>0.5</v>
      </c>
      <c r="I16" s="168" t="n">
        <v>2.052453556718754</v>
      </c>
      <c r="J16" s="168" t="n">
        <v>2</v>
      </c>
      <c r="K16" s="168" t="n">
        <v>0.05245355671875362</v>
      </c>
      <c r="L16" s="168" t="n">
        <v>0.0035466594</v>
      </c>
      <c r="M16" s="168" t="n">
        <v>0.0072793537</v>
      </c>
      <c r="N16" s="168" t="n">
        <v>0.0024953959</v>
      </c>
      <c r="O16" s="168" t="n">
        <v>0.0043617431</v>
      </c>
      <c r="P16" s="168" t="n">
        <v>97.7475</v>
      </c>
      <c r="Q16" s="168" t="n">
        <v>60.4206</v>
      </c>
      <c r="R16" s="168" t="n">
        <v>0.517930911717345</v>
      </c>
      <c r="S16" s="168" t="n">
        <v>2.35605e-06</v>
      </c>
      <c r="T16" s="168" t="n">
        <v>3.02103e-06</v>
      </c>
      <c r="U16" s="168" t="n">
        <v>2.53132e-06</v>
      </c>
      <c r="V16" s="168" t="n">
        <v>0.01977474977</v>
      </c>
    </row>
    <row r="17">
      <c r="A17" s="166" t="inlineStr">
        <is>
          <t>R2</t>
        </is>
      </c>
      <c r="B17" s="166" t="inlineStr">
        <is>
          <t>CH4=0,50; 1,80&lt;=H2/CO&lt;=2,00; menor |H2/CO-1,90|</t>
        </is>
      </c>
      <c r="C17" s="166" t="inlineStr">
        <is>
          <t>K</t>
        </is>
      </c>
      <c r="D17" s="167" t="n">
        <v>998</v>
      </c>
      <c r="E17" s="167" t="n">
        <v>101325</v>
      </c>
      <c r="F17" s="168" t="n">
        <v>0.01</v>
      </c>
      <c r="G17" s="168" t="n">
        <v>0.5</v>
      </c>
      <c r="H17" s="168" t="n">
        <v>0.5</v>
      </c>
      <c r="I17" s="168" t="n">
        <v>1.851934649519887</v>
      </c>
      <c r="J17" s="168" t="n">
        <v>1.9</v>
      </c>
      <c r="K17" s="168" t="n">
        <v>0.0480653504801134</v>
      </c>
      <c r="L17" s="168" t="n">
        <v>0.0040715049</v>
      </c>
      <c r="M17" s="168" t="n">
        <v>0.007540161</v>
      </c>
      <c r="N17" s="168" t="n">
        <v>0.0023069445</v>
      </c>
      <c r="O17" s="168" t="n">
        <v>0.0040412726</v>
      </c>
      <c r="P17" s="168" t="n">
        <v>98.47110000000001</v>
      </c>
      <c r="Q17" s="168" t="n">
        <v>63.7845</v>
      </c>
      <c r="R17" s="168" t="n">
        <v>0.5109443389424299</v>
      </c>
      <c r="S17" s="168" t="n">
        <v>2.40789e-06</v>
      </c>
      <c r="T17" s="168" t="n">
        <v>3.18922e-06</v>
      </c>
      <c r="U17" s="168" t="n">
        <v>2.51566e-06</v>
      </c>
      <c r="V17" s="168" t="n">
        <v>0.019847105743</v>
      </c>
    </row>
    <row r="18">
      <c r="A18" s="166" t="inlineStr">
        <is>
          <t>R3</t>
        </is>
      </c>
      <c r="B18" s="166" t="inlineStr">
        <is>
          <t>CH4=0,525; menor |H2/CO-1,90|</t>
        </is>
      </c>
      <c r="C18" s="166" t="inlineStr">
        <is>
          <t>T</t>
        </is>
      </c>
      <c r="D18" s="167" t="n">
        <v>1023</v>
      </c>
      <c r="E18" s="167" t="n">
        <v>101325</v>
      </c>
      <c r="F18" s="168" t="n">
        <v>0.01</v>
      </c>
      <c r="G18" s="168" t="n">
        <v>0.525</v>
      </c>
      <c r="H18" s="168" t="n">
        <v>0.475</v>
      </c>
      <c r="I18" s="168" t="n">
        <v>1.858589792458427</v>
      </c>
      <c r="J18" s="168" t="n">
        <v>1.9</v>
      </c>
      <c r="K18" s="168" t="n">
        <v>0.04141020754157254</v>
      </c>
      <c r="L18" s="168" t="n">
        <v>0.0044577864</v>
      </c>
      <c r="M18" s="168" t="n">
        <v>0.0082851963</v>
      </c>
      <c r="N18" s="168" t="n">
        <v>0.0020968351</v>
      </c>
      <c r="O18" s="168" t="n">
        <v>0.0040105401</v>
      </c>
      <c r="P18" s="168" t="n">
        <v>98.87649999999999</v>
      </c>
      <c r="Q18" s="168" t="n">
        <v>68.996</v>
      </c>
      <c r="R18" s="168" t="n">
        <v>0.5074099260066923</v>
      </c>
      <c r="S18" s="168" t="n">
        <v>2.55704e-06</v>
      </c>
      <c r="T18" s="168" t="n">
        <v>3.27731e-06</v>
      </c>
      <c r="U18" s="168" t="n">
        <v>2.63397e-06</v>
      </c>
      <c r="V18" s="168" t="n">
        <v>0.020382031692</v>
      </c>
    </row>
    <row r="19">
      <c r="A19" s="166" t="inlineStr">
        <is>
          <t>R4</t>
        </is>
      </c>
      <c r="B19" s="166" t="inlineStr">
        <is>
          <t>CH4=0,55; menor |H2/CO-1,90|</t>
        </is>
      </c>
      <c r="C19" s="166" t="inlineStr">
        <is>
          <t>AC</t>
        </is>
      </c>
      <c r="D19" s="167" t="n">
        <v>1048</v>
      </c>
      <c r="E19" s="167" t="n">
        <v>101325</v>
      </c>
      <c r="F19" s="168" t="n">
        <v>0.01</v>
      </c>
      <c r="G19" s="168" t="n">
        <v>0.55</v>
      </c>
      <c r="H19" s="168" t="n">
        <v>0.45</v>
      </c>
      <c r="I19" s="168" t="n">
        <v>1.880551193539135</v>
      </c>
      <c r="J19" s="168" t="n">
        <v>1.9</v>
      </c>
      <c r="K19" s="168" t="n">
        <v>0.01944880646086444</v>
      </c>
      <c r="L19" s="168" t="n">
        <v>0.00481174</v>
      </c>
      <c r="M19" s="168" t="n">
        <v>0.0090487234</v>
      </c>
      <c r="N19" s="168" t="n">
        <v>0.0018588911</v>
      </c>
      <c r="O19" s="168" t="n">
        <v>0.0039773828</v>
      </c>
      <c r="P19" s="168" t="n">
        <v>99.1601</v>
      </c>
      <c r="Q19" s="168" t="n">
        <v>74.1181</v>
      </c>
      <c r="R19" s="168" t="n">
        <v>0.5050084253026783</v>
      </c>
      <c r="S19" s="168" t="n">
        <v>2.69959e-06</v>
      </c>
      <c r="T19" s="168" t="n">
        <v>3.33532e-06</v>
      </c>
      <c r="U19" s="168" t="n">
        <v>2.75422e-06</v>
      </c>
      <c r="V19" s="168" t="n">
        <v>0.02090761478</v>
      </c>
    </row>
    <row r="20">
      <c r="A20" s="166" t="inlineStr">
        <is>
          <t>R5</t>
        </is>
      </c>
      <c r="B20" s="166" t="inlineStr">
        <is>
          <t>CH4=0,575; H2/CO&gt;=1,80; menor |H2/CO-1,80|</t>
        </is>
      </c>
      <c r="C20" s="166" t="inlineStr">
        <is>
          <t>AT</t>
        </is>
      </c>
      <c r="D20" s="167" t="n">
        <v>1098</v>
      </c>
      <c r="E20" s="167" t="n">
        <v>101325</v>
      </c>
      <c r="F20" s="168" t="n">
        <v>0.01</v>
      </c>
      <c r="G20" s="168" t="n">
        <v>0.575</v>
      </c>
      <c r="H20" s="168" t="n">
        <v>0.425</v>
      </c>
      <c r="I20" s="168" t="n">
        <v>1.802181755912512</v>
      </c>
      <c r="J20" s="168" t="n">
        <v>1.8</v>
      </c>
      <c r="K20" s="168" t="n">
        <v>0.002181755912512129</v>
      </c>
      <c r="L20" s="168" t="n">
        <v>0.005571109</v>
      </c>
      <c r="M20" s="168" t="n">
        <v>0.010040151</v>
      </c>
      <c r="N20" s="168" t="n">
        <v>0.0014079551</v>
      </c>
      <c r="O20" s="168" t="n">
        <v>0.0036424762</v>
      </c>
      <c r="P20" s="168" t="n">
        <v>99.5487</v>
      </c>
      <c r="Q20" s="168" t="n">
        <v>82.1066</v>
      </c>
      <c r="R20" s="168" t="n">
        <v>0.5019662651444344</v>
      </c>
      <c r="S20" s="168" t="n">
        <v>2.85077e-06</v>
      </c>
      <c r="T20" s="168" t="n">
        <v>3.48953e-06</v>
      </c>
      <c r="U20" s="168" t="n">
        <v>2.87328e-06</v>
      </c>
      <c r="V20" s="168" t="n">
        <v>0.021448106317</v>
      </c>
    </row>
    <row r="21">
      <c r="A21" s="166" t="inlineStr">
        <is>
          <t>R6</t>
        </is>
      </c>
      <c r="B21" s="166" t="inlineStr">
        <is>
          <t>CH4=0,60; menor |H2/CO-1,90|</t>
        </is>
      </c>
      <c r="C21" s="166" t="inlineStr">
        <is>
          <t>BC</t>
        </is>
      </c>
      <c r="D21" s="167" t="n">
        <v>1123</v>
      </c>
      <c r="E21" s="167" t="n">
        <v>101325</v>
      </c>
      <c r="F21" s="168" t="n">
        <v>0.01</v>
      </c>
      <c r="G21" s="168" t="n">
        <v>0.6</v>
      </c>
      <c r="H21" s="168" t="n">
        <v>0.4</v>
      </c>
      <c r="I21" s="168" t="n">
        <v>1.885226224836421</v>
      </c>
      <c r="J21" s="168" t="n">
        <v>1.9</v>
      </c>
      <c r="K21" s="168" t="n">
        <v>0.01477377516357903</v>
      </c>
      <c r="L21" s="168" t="n">
        <v>0.0057215579</v>
      </c>
      <c r="M21" s="168" t="n">
        <v>0.010786431</v>
      </c>
      <c r="N21" s="168" t="n">
        <v>0.0011717056</v>
      </c>
      <c r="O21" s="168" t="n">
        <v>0.003704142</v>
      </c>
      <c r="P21" s="168" t="n">
        <v>99.6511</v>
      </c>
      <c r="Q21" s="168" t="n">
        <v>86.1658</v>
      </c>
      <c r="R21" s="168" t="n">
        <v>0.501086289339312</v>
      </c>
      <c r="S21" s="168" t="n">
        <v>2.98304e-06</v>
      </c>
      <c r="T21" s="168" t="n">
        <v>3.44663e-06</v>
      </c>
      <c r="U21" s="168" t="n">
        <v>2.99603e-06</v>
      </c>
      <c r="V21" s="168" t="n">
        <v>0.021958136842</v>
      </c>
    </row>
    <row r="24">
      <c r="A24" s="169" t="inlineStr">
        <is>
          <t>Observação: o critério acima foi definido para reproduzir exatamente R1..R6, incluindo uma âncora superior (R1), casos centrais (R2, R3, R4, R6) e uma âncora inferior (R5).</t>
        </is>
      </c>
    </row>
  </sheetData>
  <mergeCells count="12">
    <mergeCell ref="A24:L24"/>
    <mergeCell ref="A7:L7"/>
    <mergeCell ref="A10:L10"/>
    <mergeCell ref="A11:L11"/>
    <mergeCell ref="A1:L1"/>
    <mergeCell ref="A5:L5"/>
    <mergeCell ref="A8:L8"/>
    <mergeCell ref="A6:L6"/>
    <mergeCell ref="A9:L9"/>
    <mergeCell ref="A3:L3"/>
    <mergeCell ref="A12:L1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2026-02-12T01:08:57Z</dcterms:created>
  <dcterms:modified xmlns:dcterms="http://purl.org/dc/terms/" xmlns:xsi="http://www.w3.org/2001/XMLSchema-instance" xsi:type="dcterms:W3CDTF">2026-04-13T23:49:30Z</dcterms:modified>
  <cp:lastModifiedBy>Denys Haluli Kabbaz</cp:lastModifiedBy>
  <cp:revision>171</cp:revision>
  <cp:lastPrinted>2026-04-09T02:38:11Z</cp:lastPrinted>
</cp:coreProperties>
</file>