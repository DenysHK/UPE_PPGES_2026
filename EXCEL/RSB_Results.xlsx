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nys\Dropbox\Pen\UPE PPGES POLI\8 DISSERTACAO\SOFTWARE E RESULTADOS\RSB\"/>
    </mc:Choice>
  </mc:AlternateContent>
  <xr:revisionPtr revIDLastSave="0" documentId="13_ncr:1_{7C3C753A-6B19-492E-B1D0-E516689BE60A}" xr6:coauthVersionLast="47" xr6:coauthVersionMax="47" xr10:uidLastSave="{00000000-0000-0000-0000-000000000000}"/>
  <bookViews>
    <workbookView xWindow="-28725" yWindow="-6660" windowWidth="18480" windowHeight="14820" tabRatio="497" firstSheet="4" activeTab="4" xr2:uid="{00000000-000D-0000-FFFF-FFFF00000000}"/>
  </bookViews>
  <sheets>
    <sheet name="TEMPERATURA" sheetId="1" r:id="rId1"/>
    <sheet name="101325 Pa" sheetId="2" r:id="rId2"/>
    <sheet name="506625 Pa" sheetId="3" r:id="rId3"/>
    <sheet name="1013250 Pa" sheetId="4" r:id="rId4"/>
    <sheet name="1519875 Pa" sheetId="5" r:id="rId5"/>
    <sheet name="Grafico 1 LM" sheetId="6" r:id="rId6"/>
    <sheet name="Grafico 2 LM" sheetId="7" r:id="rId7"/>
    <sheet name="Grafico 3 LM" sheetId="8" r:id="rId8"/>
  </sheets>
  <definedNames>
    <definedName name="_xlnm.Print_Area" localSheetId="4">'1519875 Pa'!$A$1:$AA$32</definedName>
    <definedName name="_xlnm.Print_Area" localSheetId="0">TEMPERATURA!$A$1:$Q$38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X18" i="6" l="1"/>
  <c r="X17" i="6"/>
  <c r="X16" i="6"/>
  <c r="X15" i="6"/>
  <c r="X12" i="6"/>
  <c r="X11" i="6"/>
  <c r="X10" i="6"/>
  <c r="X9" i="6"/>
  <c r="J18" i="6"/>
  <c r="J17" i="6"/>
  <c r="J16" i="6"/>
  <c r="J15" i="6"/>
  <c r="J12" i="6"/>
  <c r="J11" i="6"/>
  <c r="J10" i="6"/>
  <c r="J9" i="6"/>
  <c r="X30" i="6"/>
  <c r="X29" i="6"/>
  <c r="X28" i="6"/>
  <c r="X27" i="6"/>
  <c r="X24" i="6"/>
  <c r="X23" i="6"/>
  <c r="X22" i="6"/>
  <c r="X21" i="6"/>
  <c r="J30" i="6"/>
  <c r="J29" i="6"/>
  <c r="J28" i="6"/>
  <c r="J27" i="6"/>
  <c r="J24" i="6"/>
  <c r="J23" i="6"/>
  <c r="J22" i="6"/>
  <c r="J21" i="6"/>
  <c r="G21" i="6"/>
  <c r="AG3" i="6"/>
  <c r="AG2" i="6"/>
  <c r="AB32" i="5"/>
  <c r="Z32" i="5"/>
  <c r="Y32" i="5"/>
  <c r="X32" i="5"/>
  <c r="W32" i="5"/>
  <c r="U32" i="5"/>
  <c r="T32" i="5"/>
  <c r="S32" i="5"/>
  <c r="R32" i="5"/>
  <c r="P32" i="5"/>
  <c r="O32" i="5"/>
  <c r="N32" i="5"/>
  <c r="M32" i="5"/>
  <c r="K32" i="5"/>
  <c r="J32" i="5"/>
  <c r="I32" i="5"/>
  <c r="H32" i="5"/>
  <c r="F32" i="5"/>
  <c r="E32" i="5"/>
  <c r="D32" i="5"/>
  <c r="C32" i="5"/>
  <c r="AB31" i="5"/>
  <c r="Z31" i="5"/>
  <c r="Y31" i="5"/>
  <c r="X31" i="5"/>
  <c r="W31" i="5"/>
  <c r="U31" i="5"/>
  <c r="T31" i="5"/>
  <c r="S31" i="5"/>
  <c r="R31" i="5"/>
  <c r="P31" i="5"/>
  <c r="O31" i="5"/>
  <c r="N31" i="5"/>
  <c r="M31" i="5"/>
  <c r="K31" i="5"/>
  <c r="J31" i="5"/>
  <c r="I31" i="5"/>
  <c r="H31" i="5"/>
  <c r="F31" i="5"/>
  <c r="E31" i="5"/>
  <c r="D31" i="5"/>
  <c r="C31" i="5"/>
  <c r="AB18" i="5"/>
  <c r="Z18" i="5"/>
  <c r="Y18" i="5"/>
  <c r="X18" i="5"/>
  <c r="W18" i="5"/>
  <c r="U18" i="5"/>
  <c r="T18" i="5"/>
  <c r="S18" i="5"/>
  <c r="R18" i="5"/>
  <c r="P18" i="5"/>
  <c r="O18" i="5"/>
  <c r="N18" i="5"/>
  <c r="M18" i="5"/>
  <c r="K18" i="5"/>
  <c r="J18" i="5"/>
  <c r="I18" i="5"/>
  <c r="H18" i="5"/>
  <c r="F18" i="5"/>
  <c r="E18" i="5"/>
  <c r="D18" i="5"/>
  <c r="C18" i="5"/>
  <c r="AG9" i="5"/>
  <c r="AB9" i="5"/>
  <c r="W9" i="5"/>
  <c r="R9" i="5"/>
  <c r="M9" i="5"/>
  <c r="H9" i="5"/>
  <c r="C9" i="5"/>
  <c r="AG8" i="5"/>
  <c r="AB8" i="5"/>
  <c r="W8" i="5"/>
  <c r="R8" i="5"/>
  <c r="M8" i="5"/>
  <c r="H8" i="5"/>
  <c r="C8" i="5"/>
  <c r="AB32" i="4"/>
  <c r="Z32" i="4"/>
  <c r="Y32" i="4"/>
  <c r="X32" i="4"/>
  <c r="W32" i="4"/>
  <c r="U32" i="4"/>
  <c r="T32" i="4"/>
  <c r="S32" i="4"/>
  <c r="R32" i="4"/>
  <c r="P32" i="4"/>
  <c r="O32" i="4"/>
  <c r="N32" i="4"/>
  <c r="M32" i="4"/>
  <c r="K32" i="4"/>
  <c r="J32" i="4"/>
  <c r="I32" i="4"/>
  <c r="H32" i="4"/>
  <c r="F32" i="4"/>
  <c r="E32" i="4"/>
  <c r="D32" i="4"/>
  <c r="C32" i="4"/>
  <c r="AB31" i="4"/>
  <c r="Z31" i="4"/>
  <c r="Y31" i="4"/>
  <c r="X31" i="4"/>
  <c r="W31" i="4"/>
  <c r="U31" i="4"/>
  <c r="T31" i="4"/>
  <c r="S31" i="4"/>
  <c r="R31" i="4"/>
  <c r="P31" i="4"/>
  <c r="O31" i="4"/>
  <c r="N31" i="4"/>
  <c r="M31" i="4"/>
  <c r="K31" i="4"/>
  <c r="J31" i="4"/>
  <c r="I31" i="4"/>
  <c r="H31" i="4"/>
  <c r="F31" i="4"/>
  <c r="E31" i="4"/>
  <c r="D31" i="4"/>
  <c r="C31" i="4"/>
  <c r="AB18" i="4"/>
  <c r="Z18" i="4"/>
  <c r="Y18" i="4"/>
  <c r="X18" i="4"/>
  <c r="W18" i="4"/>
  <c r="U18" i="4"/>
  <c r="T18" i="4"/>
  <c r="S18" i="4"/>
  <c r="R18" i="4"/>
  <c r="P18" i="4"/>
  <c r="O18" i="4"/>
  <c r="N18" i="4"/>
  <c r="M18" i="4"/>
  <c r="K18" i="4"/>
  <c r="J18" i="4"/>
  <c r="I18" i="4"/>
  <c r="H18" i="4"/>
  <c r="F18" i="4"/>
  <c r="E18" i="4"/>
  <c r="D18" i="4"/>
  <c r="C18" i="4"/>
  <c r="AG9" i="4"/>
  <c r="AB9" i="4"/>
  <c r="W9" i="4"/>
  <c r="R9" i="4"/>
  <c r="M9" i="4"/>
  <c r="H9" i="4"/>
  <c r="C9" i="4"/>
  <c r="AG8" i="4"/>
  <c r="AB8" i="4"/>
  <c r="W8" i="4"/>
  <c r="R8" i="4"/>
  <c r="M8" i="4"/>
  <c r="H8" i="4"/>
  <c r="C8" i="4"/>
  <c r="AC32" i="3"/>
  <c r="AB32" i="3"/>
  <c r="Z32" i="3"/>
  <c r="Y32" i="3"/>
  <c r="X32" i="3"/>
  <c r="W32" i="3"/>
  <c r="U32" i="3"/>
  <c r="T32" i="3"/>
  <c r="S32" i="3"/>
  <c r="R32" i="3"/>
  <c r="P32" i="3"/>
  <c r="O32" i="3"/>
  <c r="N32" i="3"/>
  <c r="M32" i="3"/>
  <c r="K32" i="3"/>
  <c r="J32" i="3"/>
  <c r="I32" i="3"/>
  <c r="H32" i="3"/>
  <c r="F32" i="3"/>
  <c r="E32" i="3"/>
  <c r="D32" i="3"/>
  <c r="C32" i="3"/>
  <c r="AC31" i="3"/>
  <c r="AB31" i="3"/>
  <c r="Z31" i="3"/>
  <c r="Y31" i="3"/>
  <c r="X31" i="3"/>
  <c r="W31" i="3"/>
  <c r="U31" i="3"/>
  <c r="T31" i="3"/>
  <c r="S31" i="3"/>
  <c r="R31" i="3"/>
  <c r="P31" i="3"/>
  <c r="O31" i="3"/>
  <c r="N31" i="3"/>
  <c r="M31" i="3"/>
  <c r="K31" i="3"/>
  <c r="J31" i="3"/>
  <c r="I31" i="3"/>
  <c r="H31" i="3"/>
  <c r="F31" i="3"/>
  <c r="E31" i="3"/>
  <c r="D31" i="3"/>
  <c r="C31" i="3"/>
  <c r="AC18" i="3"/>
  <c r="AB18" i="3"/>
  <c r="Z18" i="3"/>
  <c r="Y18" i="3"/>
  <c r="X18" i="3"/>
  <c r="W18" i="3"/>
  <c r="U18" i="3"/>
  <c r="T18" i="3"/>
  <c r="S18" i="3"/>
  <c r="R18" i="3"/>
  <c r="P18" i="3"/>
  <c r="O18" i="3"/>
  <c r="N18" i="3"/>
  <c r="M18" i="3"/>
  <c r="K18" i="3"/>
  <c r="J18" i="3"/>
  <c r="I18" i="3"/>
  <c r="H18" i="3"/>
  <c r="F18" i="3"/>
  <c r="E18" i="3"/>
  <c r="D18" i="3"/>
  <c r="C18" i="3"/>
  <c r="AG9" i="3"/>
  <c r="AB9" i="3"/>
  <c r="W9" i="3"/>
  <c r="R9" i="3"/>
  <c r="M9" i="3"/>
  <c r="H9" i="3"/>
  <c r="C9" i="3"/>
  <c r="AG8" i="3"/>
  <c r="AB8" i="3"/>
  <c r="W8" i="3"/>
  <c r="R8" i="3"/>
  <c r="M8" i="3"/>
  <c r="H8" i="3"/>
  <c r="C8" i="3"/>
  <c r="AJ32" i="2"/>
  <c r="AI32" i="2"/>
  <c r="AH32" i="2"/>
  <c r="AG32" i="2"/>
  <c r="AE32" i="2"/>
  <c r="AD32" i="2"/>
  <c r="AC32" i="2"/>
  <c r="AB32" i="2"/>
  <c r="Z32" i="2"/>
  <c r="Y32" i="2"/>
  <c r="X32" i="2"/>
  <c r="W32" i="2"/>
  <c r="U32" i="2"/>
  <c r="T32" i="2"/>
  <c r="S32" i="2"/>
  <c r="R32" i="2"/>
  <c r="P32" i="2"/>
  <c r="O32" i="2"/>
  <c r="N32" i="2"/>
  <c r="M32" i="2"/>
  <c r="K32" i="2"/>
  <c r="J32" i="2"/>
  <c r="I32" i="2"/>
  <c r="H32" i="2"/>
  <c r="F32" i="2"/>
  <c r="E32" i="2"/>
  <c r="D32" i="2"/>
  <c r="C32" i="2"/>
  <c r="AJ31" i="2"/>
  <c r="AI31" i="2"/>
  <c r="AH31" i="2"/>
  <c r="AG31" i="2"/>
  <c r="AE31" i="2"/>
  <c r="AD31" i="2"/>
  <c r="AC31" i="2"/>
  <c r="AB31" i="2"/>
  <c r="Z31" i="2"/>
  <c r="Y31" i="2"/>
  <c r="X31" i="2"/>
  <c r="W31" i="2"/>
  <c r="U31" i="2"/>
  <c r="T31" i="2"/>
  <c r="S31" i="2"/>
  <c r="R31" i="2"/>
  <c r="P31" i="2"/>
  <c r="O31" i="2"/>
  <c r="N31" i="2"/>
  <c r="M31" i="2"/>
  <c r="K31" i="2"/>
  <c r="J31" i="2"/>
  <c r="I31" i="2"/>
  <c r="H31" i="2"/>
  <c r="F31" i="2"/>
  <c r="E31" i="2"/>
  <c r="D31" i="2"/>
  <c r="C31" i="2"/>
  <c r="AJ18" i="2"/>
  <c r="AI18" i="2"/>
  <c r="AH18" i="2"/>
  <c r="AG18" i="2"/>
  <c r="AE18" i="2"/>
  <c r="AD18" i="2"/>
  <c r="AC18" i="2"/>
  <c r="AB18" i="2"/>
  <c r="Z18" i="2"/>
  <c r="Y18" i="2"/>
  <c r="X18" i="2"/>
  <c r="W18" i="2"/>
  <c r="U18" i="2"/>
  <c r="T18" i="2"/>
  <c r="S18" i="2"/>
  <c r="R18" i="2"/>
  <c r="P18" i="2"/>
  <c r="O18" i="2"/>
  <c r="N18" i="2"/>
  <c r="M18" i="2"/>
  <c r="K18" i="2"/>
  <c r="J18" i="2"/>
  <c r="I18" i="2"/>
  <c r="H18" i="2"/>
  <c r="F18" i="2"/>
  <c r="E18" i="2"/>
  <c r="D18" i="2"/>
  <c r="C18" i="2"/>
  <c r="AB9" i="2"/>
  <c r="AB8" i="2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Q20" i="1"/>
  <c r="P20" i="1"/>
  <c r="O20" i="1"/>
  <c r="N20" i="1"/>
  <c r="M20" i="1"/>
  <c r="L20" i="1"/>
  <c r="K20" i="1"/>
  <c r="J20" i="1"/>
  <c r="I20" i="1"/>
  <c r="H20" i="1"/>
  <c r="G20" i="1"/>
  <c r="F2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</calcChain>
</file>

<file path=xl/sharedStrings.xml><?xml version="1.0" encoding="utf-8"?>
<sst xmlns="http://schemas.openxmlformats.org/spreadsheetml/2006/main" count="493" uniqueCount="84">
  <si>
    <t>basis: MOLAR FLOW</t>
  </si>
  <si>
    <t>Wcat_total (kg)=</t>
  </si>
  <si>
    <t>Temperatura (K) =</t>
  </si>
  <si>
    <t>673 K</t>
  </si>
  <si>
    <t>723 K</t>
  </si>
  <si>
    <t>773 K</t>
  </si>
  <si>
    <t>823 K</t>
  </si>
  <si>
    <t>873 K</t>
  </si>
  <si>
    <t>923 K</t>
  </si>
  <si>
    <t>973 K</t>
  </si>
  <si>
    <t>1023 K</t>
  </si>
  <si>
    <t>1073 K</t>
  </si>
  <si>
    <t>1123 K</t>
  </si>
  <si>
    <t>1173 K</t>
  </si>
  <si>
    <t>1223 K</t>
  </si>
  <si>
    <t>1273 K</t>
  </si>
  <si>
    <t>1323 K</t>
  </si>
  <si>
    <t>1373 K</t>
  </si>
  <si>
    <t>Pressão (Pa) =</t>
  </si>
  <si>
    <t>BIOGAS Flow (mol/s) IN =</t>
  </si>
  <si>
    <t>Molar Flow (mol/s) OUT =</t>
  </si>
  <si>
    <r>
      <rPr>
        <sz val="10"/>
        <rFont val="Arial"/>
        <family val="2"/>
      </rPr>
      <t>CH</t>
    </r>
    <r>
      <rPr>
        <vertAlign val="subscript"/>
        <sz val="10"/>
        <rFont val="Arial"/>
        <family val="2"/>
      </rPr>
      <t>4</t>
    </r>
    <r>
      <rPr>
        <sz val="10"/>
        <rFont val="Arial"/>
        <family val="2"/>
      </rPr>
      <t>/CO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=</t>
    </r>
  </si>
  <si>
    <r>
      <rPr>
        <sz val="10"/>
        <rFont val="Arial"/>
        <family val="2"/>
      </rPr>
      <t>CH</t>
    </r>
    <r>
      <rPr>
        <vertAlign val="subscript"/>
        <sz val="10"/>
        <rFont val="Arial"/>
        <family val="2"/>
      </rPr>
      <t>4</t>
    </r>
    <r>
      <rPr>
        <sz val="10"/>
        <rFont val="Arial"/>
        <family val="2"/>
      </rPr>
      <t xml:space="preserve"> (fração molar) =</t>
    </r>
  </si>
  <si>
    <r>
      <rPr>
        <sz val="10"/>
        <rFont val="Arial"/>
        <family val="2"/>
      </rP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(fração molar) =</t>
    </r>
  </si>
  <si>
    <t>mol/s</t>
  </si>
  <si>
    <t>Temp(K)</t>
  </si>
  <si>
    <r>
      <rPr>
        <sz val="10"/>
        <rFont val="Arial"/>
        <family val="2"/>
      </rPr>
      <t>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 mol/s )</t>
    </r>
  </si>
  <si>
    <t>P</t>
  </si>
  <si>
    <r>
      <rPr>
        <sz val="10"/>
        <rFont val="Arial"/>
        <family val="2"/>
      </rP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 mol/s)</t>
    </r>
  </si>
  <si>
    <t>falhou</t>
  </si>
  <si>
    <t>R</t>
  </si>
  <si>
    <t>CO (mol/s)</t>
  </si>
  <si>
    <t>O</t>
  </si>
  <si>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>O ( mol/s)</t>
    </r>
  </si>
  <si>
    <t>D</t>
  </si>
  <si>
    <t>C ( mol/s)</t>
  </si>
  <si>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(mol/s)</t>
    </r>
  </si>
  <si>
    <t>Reaction Coordinate  DRM</t>
  </si>
  <si>
    <t xml:space="preserve">CH₄ + CO₂ ⇌ 2CO + 2H₂ </t>
  </si>
  <si>
    <t>Reaction Coordinate RWGS</t>
  </si>
  <si>
    <t>F</t>
  </si>
  <si>
    <t xml:space="preserve">CO₂ + H₂ ⇌ CO + H₂O </t>
  </si>
  <si>
    <t>Reaction Coordinate DM</t>
  </si>
  <si>
    <t>-</t>
  </si>
  <si>
    <t xml:space="preserve">CH₄ ⇌ C(s) + 2H₂ </t>
  </si>
  <si>
    <r>
      <rPr>
        <sz val="10"/>
        <rFont val="Arial"/>
        <family val="2"/>
      </rPr>
      <t>Convertion 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(%)</t>
    </r>
  </si>
  <si>
    <r>
      <rPr>
        <sz val="10"/>
        <rFont val="Arial"/>
        <family val="2"/>
      </rPr>
      <t>Convertion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(%)</t>
    </r>
  </si>
  <si>
    <t>Selec ( C )</t>
  </si>
  <si>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/ CO</t>
    </r>
  </si>
  <si>
    <t>Temperatura ( K ) =</t>
  </si>
  <si>
    <t>873K</t>
  </si>
  <si>
    <t>Pressão ( Pa ) =</t>
  </si>
  <si>
    <t>E</t>
  </si>
  <si>
    <t>“BIOGAS” Flow (mol/s) =</t>
  </si>
  <si>
    <t>Basis: MOLAR FRACTION</t>
  </si>
  <si>
    <t>IN</t>
  </si>
  <si>
    <t>Basis: MOLAR FLOW</t>
  </si>
  <si>
    <t>OUT</t>
  </si>
  <si>
    <t>OUT Molar Flow (mol/s) =</t>
  </si>
  <si>
    <t>Reaction Coordinate  DRM (mol/s)</t>
  </si>
  <si>
    <t>Reaction Coordinate RWGS (mol/s)</t>
  </si>
  <si>
    <t>Reaction Coordinate DM (mol/s)</t>
  </si>
  <si>
    <t>Seletividade a Carbono</t>
  </si>
  <si>
    <t>Pressão</t>
  </si>
  <si>
    <t>1 atm</t>
  </si>
  <si>
    <t>5 atm</t>
  </si>
  <si>
    <t>10 atm</t>
  </si>
  <si>
    <t>15 atm</t>
  </si>
  <si>
    <r>
      <t>Convertion 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(%) (1 atm)</t>
    </r>
  </si>
  <si>
    <r>
      <t>Convertion 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(%) (5 atm)</t>
    </r>
  </si>
  <si>
    <r>
      <t>Convertion 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(%) (15 atm)</t>
    </r>
  </si>
  <si>
    <r>
      <t>Convertion CH</t>
    </r>
    <r>
      <rPr>
        <vertAlign val="subscript"/>
        <sz val="10"/>
        <rFont val="Arial"/>
        <family val="2"/>
      </rPr>
      <t xml:space="preserve">4 </t>
    </r>
    <r>
      <rPr>
        <sz val="10"/>
        <rFont val="Arial"/>
        <family val="2"/>
      </rPr>
      <t>(%) (10 atm)</t>
    </r>
  </si>
  <si>
    <r>
      <t>Convertion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(%) (1 atm)</t>
    </r>
  </si>
  <si>
    <r>
      <t>Convertion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(%) (5 atm)</t>
    </r>
  </si>
  <si>
    <r>
      <t>Convertion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(%) (10 atm)</t>
    </r>
  </si>
  <si>
    <r>
      <t>Convertion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(%) (15 atm)</t>
    </r>
  </si>
  <si>
    <t>0,5:0.5</t>
  </si>
  <si>
    <t>0,6:0,4</t>
  </si>
  <si>
    <t>0,7:0,3</t>
  </si>
  <si>
    <t>0,8:0,2</t>
  </si>
  <si>
    <t>P = 1 atm</t>
  </si>
  <si>
    <t>P = 5 atm</t>
  </si>
  <si>
    <t>P = 10 atm</t>
  </si>
  <si>
    <t>P = 15 atm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</si>
</sst>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"/>
    <numFmt numFmtId="165" formatCode="0.0000000000"/>
    <numFmt numFmtId="166" formatCode="0.00000"/>
    <numFmt numFmtId="167" formatCode="#,##0.00000"/>
  </numFmts>
  <fonts count="13">
    <font>
      <sz val="10"/>
      <name val="Arial"/>
      <family val="2"/>
    </font>
    <font>
      <b/>
      <sz val="10"/>
      <name val="Arial"/>
      <family val="2"/>
    </font>
    <font>
      <b/>
      <sz val="10"/>
      <color theme="10"/>
      <name val="Arial"/>
      <family val="2"/>
    </font>
    <font>
      <b/>
      <sz val="10"/>
      <color rgb="FF0000EE"/>
      <name val="Arial"/>
      <family val="2"/>
    </font>
    <font>
      <b/>
      <sz val="10"/>
      <color rgb="FF0000FF"/>
      <name val="Arial"/>
      <family val="2"/>
    </font>
    <font>
      <vertAlign val="subscript"/>
      <sz val="10"/>
      <name val="Arial"/>
      <family val="2"/>
    </font>
    <font>
      <sz val="10"/>
      <color rgb="FF000000"/>
      <name val="Arial"/>
      <family val="2"/>
    </font>
    <font>
      <sz val="10"/>
      <name val="Times New Roman"/>
      <family val="1"/>
    </font>
    <font>
      <sz val="13"/>
      <color rgb="FFA52A2A"/>
      <name val="Times New Roman"/>
      <family val="1"/>
    </font>
    <font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6" fillId="0" borderId="0" xfId="0" applyFont="1"/>
    <xf numFmtId="0" fontId="6" fillId="0" borderId="0" xfId="0" applyFont="1"/>
    <xf numFmtId="0" fontId="7" fillId="0" borderId="0" xfId="0" applyFont="1" applyAlignment="1">
      <alignment wrapText="1"/>
    </xf>
    <xf numFmtId="11" fontId="7" fillId="0" borderId="0" xfId="0" applyNumberFormat="1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0" xfId="0" applyFont="1" applyAlignment="1">
      <alignment horizontal="right"/>
    </xf>
    <xf numFmtId="164" fontId="7" fillId="0" borderId="0" xfId="0" applyNumberFormat="1" applyFont="1" applyAlignment="1">
      <alignment wrapText="1"/>
    </xf>
    <xf numFmtId="0" fontId="0" fillId="0" borderId="2" xfId="0" applyFont="1" applyBorder="1" applyAlignment="1">
      <alignment horizontal="center"/>
    </xf>
    <xf numFmtId="0" fontId="8" fillId="2" borderId="0" xfId="0" applyFont="1" applyFill="1" applyAlignment="1">
      <alignment horizontal="center" wrapText="1"/>
    </xf>
    <xf numFmtId="0" fontId="0" fillId="0" borderId="3" xfId="0" applyBorder="1" applyAlignment="1">
      <alignment horizontal="center"/>
    </xf>
    <xf numFmtId="0" fontId="7" fillId="0" borderId="4" xfId="0" applyFont="1" applyBorder="1" applyAlignment="1">
      <alignment wrapText="1"/>
    </xf>
    <xf numFmtId="0" fontId="0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0" fillId="0" borderId="0" xfId="0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0" fillId="0" borderId="1" xfId="0" applyBorder="1"/>
    <xf numFmtId="165" fontId="2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wrapText="1"/>
    </xf>
    <xf numFmtId="165" fontId="0" fillId="0" borderId="0" xfId="0" applyNumberFormat="1"/>
    <xf numFmtId="165" fontId="7" fillId="0" borderId="0" xfId="0" applyNumberFormat="1" applyFont="1" applyAlignment="1">
      <alignment wrapText="1"/>
    </xf>
    <xf numFmtId="165" fontId="10" fillId="0" borderId="0" xfId="0" applyNumberFormat="1" applyFont="1" applyAlignment="1">
      <alignment wrapText="1"/>
    </xf>
    <xf numFmtId="0" fontId="1" fillId="0" borderId="3" xfId="0" applyFont="1" applyBorder="1" applyAlignment="1">
      <alignment horizontal="center"/>
    </xf>
    <xf numFmtId="0" fontId="0" fillId="0" borderId="0" xfId="0" applyFont="1" applyAlignment="1">
      <alignment horizontal="right" vertical="center"/>
    </xf>
    <xf numFmtId="165" fontId="7" fillId="0" borderId="0" xfId="0" applyNumberFormat="1" applyFont="1" applyAlignment="1">
      <alignment vertical="center" wrapText="1"/>
    </xf>
    <xf numFmtId="165" fontId="0" fillId="0" borderId="0" xfId="0" applyNumberFormat="1" applyAlignment="1">
      <alignment horizontal="center"/>
    </xf>
    <xf numFmtId="2" fontId="7" fillId="0" borderId="0" xfId="0" applyNumberFormat="1" applyFont="1" applyAlignment="1">
      <alignment wrapText="1"/>
    </xf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11" fontId="10" fillId="0" borderId="0" xfId="0" applyNumberFormat="1" applyFont="1" applyAlignment="1">
      <alignment wrapText="1"/>
    </xf>
    <xf numFmtId="165" fontId="6" fillId="0" borderId="0" xfId="0" applyNumberFormat="1" applyFont="1"/>
    <xf numFmtId="0" fontId="10" fillId="0" borderId="0" xfId="0" applyFont="1" applyAlignment="1">
      <alignment wrapText="1"/>
    </xf>
    <xf numFmtId="165" fontId="11" fillId="0" borderId="0" xfId="0" applyNumberFormat="1" applyFont="1" applyAlignment="1">
      <alignment wrapText="1"/>
    </xf>
    <xf numFmtId="0" fontId="11" fillId="0" borderId="0" xfId="0" applyFont="1" applyAlignment="1">
      <alignment wrapText="1"/>
    </xf>
    <xf numFmtId="165" fontId="10" fillId="0" borderId="0" xfId="0" applyNumberFormat="1" applyFont="1" applyAlignment="1">
      <alignment vertical="center" wrapText="1"/>
    </xf>
    <xf numFmtId="165" fontId="6" fillId="0" borderId="0" xfId="0" applyNumberFormat="1" applyFont="1" applyAlignment="1">
      <alignment horizontal="center"/>
    </xf>
    <xf numFmtId="0" fontId="11" fillId="0" borderId="0" xfId="0" applyFont="1" applyAlignment="1">
      <alignment wrapText="1"/>
    </xf>
    <xf numFmtId="11" fontId="11" fillId="0" borderId="0" xfId="0" applyNumberFormat="1" applyFont="1" applyAlignment="1">
      <alignment wrapText="1"/>
    </xf>
    <xf numFmtId="165" fontId="12" fillId="0" borderId="0" xfId="0" applyNumberFormat="1" applyFont="1"/>
    <xf numFmtId="0" fontId="12" fillId="0" borderId="0" xfId="0" applyFont="1"/>
    <xf numFmtId="0" fontId="12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2" fontId="11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A52A2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TEMPERATURA!$B$37</c:f>
              <c:strCache>
                <c:ptCount val="1"/>
                <c:pt idx="0">
                  <c:v>Selec ( C )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TEMPERATURA!$C$36:$Q$36</c:f>
              <c:strCache>
                <c:ptCount val="15"/>
                <c:pt idx="0">
                  <c:v>673 K</c:v>
                </c:pt>
                <c:pt idx="1">
                  <c:v>723 K</c:v>
                </c:pt>
                <c:pt idx="2">
                  <c:v>773 K</c:v>
                </c:pt>
                <c:pt idx="3">
                  <c:v>823 K</c:v>
                </c:pt>
                <c:pt idx="4">
                  <c:v>873 K</c:v>
                </c:pt>
                <c:pt idx="5">
                  <c:v>923 K</c:v>
                </c:pt>
                <c:pt idx="6">
                  <c:v>973 K</c:v>
                </c:pt>
                <c:pt idx="7">
                  <c:v>1023 K</c:v>
                </c:pt>
                <c:pt idx="8">
                  <c:v>1073 K</c:v>
                </c:pt>
                <c:pt idx="9">
                  <c:v>1123 K</c:v>
                </c:pt>
                <c:pt idx="10">
                  <c:v>1173 K</c:v>
                </c:pt>
                <c:pt idx="11">
                  <c:v>1223 K</c:v>
                </c:pt>
                <c:pt idx="12">
                  <c:v>1273 K</c:v>
                </c:pt>
                <c:pt idx="13">
                  <c:v>1323 K</c:v>
                </c:pt>
                <c:pt idx="14">
                  <c:v>1373 K</c:v>
                </c:pt>
              </c:strCache>
            </c:strRef>
          </c:cat>
          <c:val>
            <c:numRef>
              <c:f>TEMPERATURA!$C$37:$Q$37</c:f>
              <c:numCache>
                <c:formatCode>General</c:formatCode>
                <c:ptCount val="15"/>
                <c:pt idx="0">
                  <c:v>0.6755290449616046</c:v>
                </c:pt>
                <c:pt idx="1">
                  <c:v>0.68794257414337368</c:v>
                </c:pt>
                <c:pt idx="2">
                  <c:v>0.69049011661109372</c:v>
                </c:pt>
                <c:pt idx="3">
                  <c:v>0.65808519196086823</c:v>
                </c:pt>
                <c:pt idx="4">
                  <c:v>0.6000784665396256</c:v>
                </c:pt>
                <c:pt idx="5">
                  <c:v>0.54762901871489522</c:v>
                </c:pt>
                <c:pt idx="6">
                  <c:v>0.51793091171734496</c:v>
                </c:pt>
                <c:pt idx="7">
                  <c:v>0.50675977484260204</c:v>
                </c:pt>
                <c:pt idx="8">
                  <c:v>0.50261300229944195</c:v>
                </c:pt>
                <c:pt idx="9">
                  <c:v>0.50085898080974722</c:v>
                </c:pt>
                <c:pt idx="10">
                  <c:v>0.50012813582397342</c:v>
                </c:pt>
                <c:pt idx="11">
                  <c:v>0.49975286407524139</c:v>
                </c:pt>
                <c:pt idx="12">
                  <c:v>0.49976491866185702</c:v>
                </c:pt>
                <c:pt idx="13">
                  <c:v>0.50085898080974722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79-4C88-B7BB-63601A4712D2}"/>
            </c:ext>
          </c:extLst>
        </c:ser>
        <c:ser>
          <c:idx val="1"/>
          <c:order val="1"/>
          <c:tx>
            <c:strRef>
              <c:f>TEMPERATURA!$B$38</c:f>
              <c:strCache>
                <c:ptCount val="1"/>
                <c:pt idx="0">
                  <c:v>H2 / CO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TEMPERATURA!$C$36:$Q$36</c:f>
              <c:strCache>
                <c:ptCount val="15"/>
                <c:pt idx="0">
                  <c:v>673 K</c:v>
                </c:pt>
                <c:pt idx="1">
                  <c:v>723 K</c:v>
                </c:pt>
                <c:pt idx="2">
                  <c:v>773 K</c:v>
                </c:pt>
                <c:pt idx="3">
                  <c:v>823 K</c:v>
                </c:pt>
                <c:pt idx="4">
                  <c:v>873 K</c:v>
                </c:pt>
                <c:pt idx="5">
                  <c:v>923 K</c:v>
                </c:pt>
                <c:pt idx="6">
                  <c:v>973 K</c:v>
                </c:pt>
                <c:pt idx="7">
                  <c:v>1023 K</c:v>
                </c:pt>
                <c:pt idx="8">
                  <c:v>1073 K</c:v>
                </c:pt>
                <c:pt idx="9">
                  <c:v>1123 K</c:v>
                </c:pt>
                <c:pt idx="10">
                  <c:v>1173 K</c:v>
                </c:pt>
                <c:pt idx="11">
                  <c:v>1223 K</c:v>
                </c:pt>
                <c:pt idx="12">
                  <c:v>1273 K</c:v>
                </c:pt>
                <c:pt idx="13">
                  <c:v>1323 K</c:v>
                </c:pt>
                <c:pt idx="14">
                  <c:v>1373 K</c:v>
                </c:pt>
              </c:strCache>
            </c:strRef>
          </c:cat>
          <c:val>
            <c:numRef>
              <c:f>TEMPERATURA!$C$38:$Q$38</c:f>
              <c:numCache>
                <c:formatCode>General</c:formatCode>
                <c:ptCount val="15"/>
                <c:pt idx="0">
                  <c:v>1.608708558861641</c:v>
                </c:pt>
                <c:pt idx="1">
                  <c:v>2.6116308275436269</c:v>
                </c:pt>
                <c:pt idx="2">
                  <c:v>3.8840987342165834</c:v>
                </c:pt>
                <c:pt idx="3">
                  <c:v>4.2188522265953008</c:v>
                </c:pt>
                <c:pt idx="4">
                  <c:v>3.3861849951734504</c:v>
                </c:pt>
                <c:pt idx="5">
                  <c:v>2.5976531460431045</c:v>
                </c:pt>
                <c:pt idx="6">
                  <c:v>2.0524535567187536</c:v>
                </c:pt>
                <c:pt idx="7">
                  <c:v>1.6873978811710184</c:v>
                </c:pt>
                <c:pt idx="8">
                  <c:v>1.4461524641315866</c:v>
                </c:pt>
                <c:pt idx="9">
                  <c:v>1.3036319779375856</c:v>
                </c:pt>
                <c:pt idx="10">
                  <c:v>1.2329551405599859</c:v>
                </c:pt>
                <c:pt idx="11">
                  <c:v>1.2013974885242045</c:v>
                </c:pt>
                <c:pt idx="12">
                  <c:v>1.186455586455603</c:v>
                </c:pt>
                <c:pt idx="13">
                  <c:v>1.3036319779375856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79-4C88-B7BB-63601A471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562553"/>
        <c:axId val="64782750"/>
      </c:lineChart>
      <c:catAx>
        <c:axId val="8056255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64782750"/>
        <c:crosses val="autoZero"/>
        <c:auto val="1"/>
        <c:lblAlgn val="ctr"/>
        <c:lblOffset val="100"/>
        <c:noMultiLvlLbl val="0"/>
      </c:catAx>
      <c:valAx>
        <c:axId val="647827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056255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TEMPERATURA!$B$33</c:f>
              <c:strCache>
                <c:ptCount val="1"/>
                <c:pt idx="0">
                  <c:v>Convertion CH4 (%)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TEMPERATURA!$C$32:$Q$32</c:f>
              <c:strCache>
                <c:ptCount val="15"/>
                <c:pt idx="0">
                  <c:v>673 K</c:v>
                </c:pt>
                <c:pt idx="1">
                  <c:v>723 K</c:v>
                </c:pt>
                <c:pt idx="2">
                  <c:v>773 K</c:v>
                </c:pt>
                <c:pt idx="3">
                  <c:v>823 K</c:v>
                </c:pt>
                <c:pt idx="4">
                  <c:v>873 K</c:v>
                </c:pt>
                <c:pt idx="5">
                  <c:v>923 K</c:v>
                </c:pt>
                <c:pt idx="6">
                  <c:v>973 K</c:v>
                </c:pt>
                <c:pt idx="7">
                  <c:v>1023 K</c:v>
                </c:pt>
                <c:pt idx="8">
                  <c:v>1073 K</c:v>
                </c:pt>
                <c:pt idx="9">
                  <c:v>1123 K</c:v>
                </c:pt>
                <c:pt idx="10">
                  <c:v>1173 K</c:v>
                </c:pt>
                <c:pt idx="11">
                  <c:v>1223 K</c:v>
                </c:pt>
                <c:pt idx="12">
                  <c:v>1273 K</c:v>
                </c:pt>
                <c:pt idx="13">
                  <c:v>1323 K</c:v>
                </c:pt>
                <c:pt idx="14">
                  <c:v>1373 K</c:v>
                </c:pt>
              </c:strCache>
            </c:strRef>
          </c:cat>
          <c:val>
            <c:numRef>
              <c:f>TEMPERATURA!$C$33:$Q$33</c:f>
              <c:numCache>
                <c:formatCode>General</c:formatCode>
                <c:ptCount val="15"/>
                <c:pt idx="0">
                  <c:v>10.045500000000001</c:v>
                </c:pt>
                <c:pt idx="1">
                  <c:v>25.3489</c:v>
                </c:pt>
                <c:pt idx="2">
                  <c:v>52.111600000000003</c:v>
                </c:pt>
                <c:pt idx="3">
                  <c:v>77.073099999999997</c:v>
                </c:pt>
                <c:pt idx="4">
                  <c:v>89.210099999999997</c:v>
                </c:pt>
                <c:pt idx="5">
                  <c:v>95.036600000000007</c:v>
                </c:pt>
                <c:pt idx="6">
                  <c:v>97.747500000000002</c:v>
                </c:pt>
                <c:pt idx="7">
                  <c:v>98.9529</c:v>
                </c:pt>
                <c:pt idx="8">
                  <c:v>99.502399999999994</c:v>
                </c:pt>
                <c:pt idx="9">
                  <c:v>99.769499999999994</c:v>
                </c:pt>
                <c:pt idx="10">
                  <c:v>99.894099999999995</c:v>
                </c:pt>
                <c:pt idx="11">
                  <c:v>99.945099999999996</c:v>
                </c:pt>
                <c:pt idx="12">
                  <c:v>99.965299999999999</c:v>
                </c:pt>
                <c:pt idx="13">
                  <c:v>99.769499999999994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86-494E-951B-6571A3C90153}"/>
            </c:ext>
          </c:extLst>
        </c:ser>
        <c:ser>
          <c:idx val="1"/>
          <c:order val="1"/>
          <c:tx>
            <c:strRef>
              <c:f>TEMPERATURA!$B$34</c:f>
              <c:strCache>
                <c:ptCount val="1"/>
                <c:pt idx="0">
                  <c:v>Convertion CO2 (%)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TEMPERATURA!$C$32:$Q$32</c:f>
              <c:strCache>
                <c:ptCount val="15"/>
                <c:pt idx="0">
                  <c:v>673 K</c:v>
                </c:pt>
                <c:pt idx="1">
                  <c:v>723 K</c:v>
                </c:pt>
                <c:pt idx="2">
                  <c:v>773 K</c:v>
                </c:pt>
                <c:pt idx="3">
                  <c:v>823 K</c:v>
                </c:pt>
                <c:pt idx="4">
                  <c:v>873 K</c:v>
                </c:pt>
                <c:pt idx="5">
                  <c:v>923 K</c:v>
                </c:pt>
                <c:pt idx="6">
                  <c:v>973 K</c:v>
                </c:pt>
                <c:pt idx="7">
                  <c:v>1023 K</c:v>
                </c:pt>
                <c:pt idx="8">
                  <c:v>1073 K</c:v>
                </c:pt>
                <c:pt idx="9">
                  <c:v>1123 K</c:v>
                </c:pt>
                <c:pt idx="10">
                  <c:v>1173 K</c:v>
                </c:pt>
                <c:pt idx="11">
                  <c:v>1223 K</c:v>
                </c:pt>
                <c:pt idx="12">
                  <c:v>1273 K</c:v>
                </c:pt>
                <c:pt idx="13">
                  <c:v>1323 K</c:v>
                </c:pt>
                <c:pt idx="14">
                  <c:v>1373 K</c:v>
                </c:pt>
              </c:strCache>
            </c:strRef>
          </c:cat>
          <c:val>
            <c:numRef>
              <c:f>TEMPERATURA!$C$34:$Q$34</c:f>
              <c:numCache>
                <c:formatCode>General</c:formatCode>
                <c:ptCount val="15"/>
                <c:pt idx="0">
                  <c:v>8.4593699999999998</c:v>
                </c:pt>
                <c:pt idx="1">
                  <c:v>18.0838</c:v>
                </c:pt>
                <c:pt idx="2">
                  <c:v>31.988199999999999</c:v>
                </c:pt>
                <c:pt idx="3">
                  <c:v>42.972299999999997</c:v>
                </c:pt>
                <c:pt idx="4">
                  <c:v>48.739600000000003</c:v>
                </c:pt>
                <c:pt idx="5">
                  <c:v>54.189100000000003</c:v>
                </c:pt>
                <c:pt idx="6">
                  <c:v>60.4206</c:v>
                </c:pt>
                <c:pt idx="7">
                  <c:v>67.262100000000004</c:v>
                </c:pt>
                <c:pt idx="8">
                  <c:v>74.192800000000005</c:v>
                </c:pt>
                <c:pt idx="9">
                  <c:v>79.9512</c:v>
                </c:pt>
                <c:pt idx="10">
                  <c:v>83.562100000000001</c:v>
                </c:pt>
                <c:pt idx="11">
                  <c:v>85.457300000000004</c:v>
                </c:pt>
                <c:pt idx="12">
                  <c:v>86.499200000000002</c:v>
                </c:pt>
                <c:pt idx="13">
                  <c:v>79.9512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86-494E-951B-6571A3C90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3624477"/>
        <c:axId val="63693953"/>
      </c:lineChart>
      <c:catAx>
        <c:axId val="4362447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63693953"/>
        <c:crosses val="autoZero"/>
        <c:auto val="1"/>
        <c:lblAlgn val="ctr"/>
        <c:lblOffset val="100"/>
        <c:noMultiLvlLbl val="0"/>
      </c:catAx>
      <c:valAx>
        <c:axId val="636939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436244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Conversão CH</a:t>
            </a:r>
            <a:r>
              <a:rPr lang="pt-BR" sz="1100"/>
              <a:t>4</a:t>
            </a:r>
            <a:r>
              <a:rPr lang="pt-BR" sz="1400" baseline="0"/>
              <a:t> x Temperatura (CH</a:t>
            </a:r>
            <a:r>
              <a:rPr lang="pt-BR" sz="1000" baseline="0"/>
              <a:t>4</a:t>
            </a:r>
            <a:r>
              <a:rPr lang="pt-BR" sz="1400" baseline="0"/>
              <a:t>/CO</a:t>
            </a:r>
            <a:r>
              <a:rPr lang="pt-BR" sz="1000" baseline="0"/>
              <a:t>2</a:t>
            </a:r>
            <a:r>
              <a:rPr lang="pt-BR" sz="1400" baseline="0"/>
              <a:t>=1)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1 LM'!$B$9</c:f>
              <c:strCache>
                <c:ptCount val="1"/>
                <c:pt idx="0">
                  <c:v>P = 1 atm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'Grafico 1 LM'!$C$8:$I$8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LM'!$C$9:$I$9</c:f>
              <c:numCache>
                <c:formatCode>0.00</c:formatCode>
                <c:ptCount val="7"/>
                <c:pt idx="0">
                  <c:v>77.073099999999997</c:v>
                </c:pt>
                <c:pt idx="1">
                  <c:v>89.210099999999997</c:v>
                </c:pt>
                <c:pt idx="2">
                  <c:v>95.036600000000007</c:v>
                </c:pt>
                <c:pt idx="3">
                  <c:v>97.747500000000002</c:v>
                </c:pt>
                <c:pt idx="4">
                  <c:v>98.9529</c:v>
                </c:pt>
                <c:pt idx="5">
                  <c:v>99.502399999999994</c:v>
                </c:pt>
                <c:pt idx="6">
                  <c:v>99.769499999999994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5-4E57-9E7A-115AA10D4C7D}"/>
            </c:ext>
          </c:extLst>
        </c:ser>
        <c:ser>
          <c:idx val="1"/>
          <c:order val="1"/>
          <c:tx>
            <c:strRef>
              <c:f>'Grafico 1 LM'!$B$10</c:f>
              <c:strCache>
                <c:ptCount val="1"/>
                <c:pt idx="0">
                  <c:v>P = 5 atm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'Grafico 1 LM'!$C$8:$I$8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LM'!$C$10:$I$10</c:f>
              <c:numCache>
                <c:formatCode>General</c:formatCode>
                <c:ptCount val="7"/>
                <c:pt idx="0">
                  <c:v>45.641199999999998</c:v>
                </c:pt>
                <c:pt idx="1">
                  <c:v>62.709299999999999</c:v>
                </c:pt>
                <c:pt idx="2">
                  <c:v>76.700900000000004</c:v>
                </c:pt>
                <c:pt idx="3">
                  <c:v>86.685900000000004</c:v>
                </c:pt>
                <c:pt idx="4">
                  <c:v>92.811599999999999</c:v>
                </c:pt>
                <c:pt idx="5">
                  <c:v>96.220399999999998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5-4E57-9E7A-115AA10D4C7D}"/>
            </c:ext>
          </c:extLst>
        </c:ser>
        <c:ser>
          <c:idx val="2"/>
          <c:order val="2"/>
          <c:tx>
            <c:strRef>
              <c:f>'Grafico 1 LM'!$B$11</c:f>
              <c:strCache>
                <c:ptCount val="1"/>
                <c:pt idx="0">
                  <c:v>P = 10 atm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'Grafico 1 LM'!$C$8:$I$8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LM'!$C$11:$I$11</c:f>
              <c:numCache>
                <c:formatCode>General</c:formatCode>
                <c:ptCount val="7"/>
                <c:pt idx="0">
                  <c:v>34.039000000000001</c:v>
                </c:pt>
                <c:pt idx="1">
                  <c:v>49.362299999999998</c:v>
                </c:pt>
                <c:pt idx="2">
                  <c:v>63.893900000000002</c:v>
                </c:pt>
                <c:pt idx="3">
                  <c:v>76.454300000000003</c:v>
                </c:pt>
                <c:pt idx="4">
                  <c:v>85.724699999999999</c:v>
                </c:pt>
                <c:pt idx="5">
                  <c:v>91.756699999999995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5-4E57-9E7A-115AA10D4C7D}"/>
            </c:ext>
          </c:extLst>
        </c:ser>
        <c:ser>
          <c:idx val="3"/>
          <c:order val="3"/>
          <c:tx>
            <c:strRef>
              <c:f>'Grafico 1 LM'!$B$12</c:f>
              <c:strCache>
                <c:ptCount val="1"/>
                <c:pt idx="0">
                  <c:v>P = 15 atm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'Grafico 1 LM'!$C$8:$I$8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LM'!$C$12:$I$12</c:f>
              <c:numCache>
                <c:formatCode>General</c:formatCode>
                <c:ptCount val="7"/>
                <c:pt idx="0">
                  <c:v>28.6755</c:v>
                </c:pt>
                <c:pt idx="1">
                  <c:v>42.574599999999997</c:v>
                </c:pt>
                <c:pt idx="2">
                  <c:v>56.407899999999998</c:v>
                </c:pt>
                <c:pt idx="3">
                  <c:v>69.456100000000006</c:v>
                </c:pt>
                <c:pt idx="4">
                  <c:v>80.105999999999995</c:v>
                </c:pt>
                <c:pt idx="5">
                  <c:v>87.751800000000003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5-4E57-9E7A-115AA10D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0172655"/>
        <c:axId val="1330173071"/>
      </c:barChart>
      <c:catAx>
        <c:axId val="1330172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Temperatura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0173071"/>
        <c:crosses val="autoZero"/>
        <c:auto val="1"/>
        <c:lblAlgn val="ctr"/>
        <c:lblOffset val="100"/>
        <c:noMultiLvlLbl val="0"/>
      </c:catAx>
      <c:valAx>
        <c:axId val="1330173071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Conversão CH</a:t>
                </a:r>
                <a:r>
                  <a:rPr lang="en-US" sz="900"/>
                  <a:t>4</a:t>
                </a:r>
                <a:r>
                  <a:rPr lang="en-US"/>
                  <a:t>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0172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Título do Gráfico0,8:0,2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1 LM'!$B$27</c:f>
              <c:strCache>
                <c:ptCount val="1"/>
                <c:pt idx="0">
                  <c:v>Convertion CH4 (%) (1 atm)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'Grafico 1 LM'!$C$26:$I$26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LM'!$C$27:$I$27</c:f>
              <c:numCache>
                <c:formatCode>0.00</c:formatCode>
                <c:ptCount val="7"/>
                <c:pt idx="0" formatCode="General">
                  <c:v>73.7042</c:v>
                </c:pt>
                <c:pt idx="1">
                  <c:v>87.278800000000004</c:v>
                </c:pt>
                <c:pt idx="2">
                  <c:v>93.423199999999994</c:v>
                </c:pt>
                <c:pt idx="3">
                  <c:v>96.546599999999998</c:v>
                </c:pt>
                <c:pt idx="4">
                  <c:v>98.126599999999996</c:v>
                </c:pt>
                <c:pt idx="5">
                  <c:v>98.947000000000003</c:v>
                </c:pt>
                <c:pt idx="6">
                  <c:v>99.382400000000004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BD-4488-8CC7-9F656E29D386}"/>
            </c:ext>
          </c:extLst>
        </c:ser>
        <c:ser>
          <c:idx val="1"/>
          <c:order val="1"/>
          <c:tx>
            <c:strRef>
              <c:f>'Grafico 1 LM'!$B$28</c:f>
              <c:strCache>
                <c:ptCount val="1"/>
                <c:pt idx="0">
                  <c:v>Convertion CH4 (%) (5 atm)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'Grafico 1 LM'!$C$26:$I$26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LM'!$C$28:$I$28</c:f>
              <c:numCache>
                <c:formatCode>General</c:formatCode>
                <c:ptCount val="7"/>
                <c:pt idx="0">
                  <c:v>39.612699999999997</c:v>
                </c:pt>
                <c:pt idx="1">
                  <c:v>59.109699999999997</c:v>
                </c:pt>
                <c:pt idx="2">
                  <c:v>73.305800000000005</c:v>
                </c:pt>
                <c:pt idx="3">
                  <c:v>83.466899999999995</c:v>
                </c:pt>
                <c:pt idx="4">
                  <c:v>90.010800000000003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D-4488-8CC7-9F656E29D386}"/>
            </c:ext>
          </c:extLst>
        </c:ser>
        <c:ser>
          <c:idx val="2"/>
          <c:order val="2"/>
          <c:tx>
            <c:strRef>
              <c:f>'Grafico 1 LM'!$B$29</c:f>
              <c:strCache>
                <c:ptCount val="1"/>
                <c:pt idx="0">
                  <c:v>Convertion CH4 (%) (10 atm)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'Grafico 1 LM'!$C$26:$I$26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LM'!$C$29:$I$29</c:f>
              <c:numCache>
                <c:formatCode>General</c:formatCode>
                <c:ptCount val="7"/>
                <c:pt idx="0">
                  <c:v>27.945599999999999</c:v>
                </c:pt>
                <c:pt idx="1">
                  <c:v>44.941299999999998</c:v>
                </c:pt>
                <c:pt idx="2">
                  <c:v>59.826500000000003</c:v>
                </c:pt>
                <c:pt idx="3">
                  <c:v>72.491200000000006</c:v>
                </c:pt>
                <c:pt idx="4">
                  <c:v>81.943700000000007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BD-4488-8CC7-9F656E29D386}"/>
            </c:ext>
          </c:extLst>
        </c:ser>
        <c:ser>
          <c:idx val="3"/>
          <c:order val="3"/>
          <c:tx>
            <c:strRef>
              <c:f>'Grafico 1 LM'!$B$30</c:f>
              <c:strCache>
                <c:ptCount val="1"/>
                <c:pt idx="0">
                  <c:v>Convertion CH4 (%) (15 atm)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'Grafico 1 LM'!$C$26:$I$26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LM'!$C$30:$I$30</c:f>
              <c:numCache>
                <c:formatCode>General</c:formatCode>
                <c:ptCount val="7"/>
                <c:pt idx="0">
                  <c:v>22.913499999999999</c:v>
                </c:pt>
                <c:pt idx="1">
                  <c:v>37.914200000000001</c:v>
                </c:pt>
                <c:pt idx="2">
                  <c:v>52.1036</c:v>
                </c:pt>
                <c:pt idx="3">
                  <c:v>65.261499999999998</c:v>
                </c:pt>
                <c:pt idx="4">
                  <c:v>75.963800000000006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BD-4488-8CC7-9F656E29D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7961711"/>
        <c:axId val="517959215"/>
      </c:barChart>
      <c:catAx>
        <c:axId val="517961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7959215"/>
        <c:crosses val="autoZero"/>
        <c:auto val="1"/>
        <c:lblAlgn val="ctr"/>
        <c:lblOffset val="100"/>
        <c:noMultiLvlLbl val="0"/>
      </c:catAx>
      <c:valAx>
        <c:axId val="517959215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7961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Conversão CO</a:t>
            </a:r>
            <a:r>
              <a:rPr lang="pt-BR" sz="1000"/>
              <a:t>2</a:t>
            </a:r>
            <a:r>
              <a:rPr lang="pt-BR"/>
              <a:t> x Temperatura (CH</a:t>
            </a:r>
            <a:r>
              <a:rPr lang="pt-BR" sz="1000"/>
              <a:t>4</a:t>
            </a:r>
            <a:r>
              <a:rPr lang="pt-BR"/>
              <a:t>/CO</a:t>
            </a:r>
            <a:r>
              <a:rPr lang="pt-BR" sz="1000"/>
              <a:t>2</a:t>
            </a:r>
            <a:r>
              <a:rPr lang="pt-B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1 LM'!$P$9</c:f>
              <c:strCache>
                <c:ptCount val="1"/>
                <c:pt idx="0">
                  <c:v>P = 1 atm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'Grafico 1 LM'!$Q$8:$W$8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LM'!$Q$9:$W$9</c:f>
              <c:numCache>
                <c:formatCode>0.00</c:formatCode>
                <c:ptCount val="7"/>
                <c:pt idx="0">
                  <c:v>42.972299999999997</c:v>
                </c:pt>
                <c:pt idx="1">
                  <c:v>48.739600000000003</c:v>
                </c:pt>
                <c:pt idx="2">
                  <c:v>54.189100000000003</c:v>
                </c:pt>
                <c:pt idx="3">
                  <c:v>60.4206</c:v>
                </c:pt>
                <c:pt idx="4">
                  <c:v>67.262100000000004</c:v>
                </c:pt>
                <c:pt idx="5">
                  <c:v>74.192800000000005</c:v>
                </c:pt>
                <c:pt idx="6">
                  <c:v>79.9512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7-4990-9ABD-44DFACA3236C}"/>
            </c:ext>
          </c:extLst>
        </c:ser>
        <c:ser>
          <c:idx val="1"/>
          <c:order val="1"/>
          <c:tx>
            <c:strRef>
              <c:f>'Grafico 1 LM'!$P$10</c:f>
              <c:strCache>
                <c:ptCount val="1"/>
                <c:pt idx="0">
                  <c:v>P = 5 atm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'Grafico 1 LM'!$Q$8:$W$8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LM'!$Q$10:$W$10</c:f>
              <c:numCache>
                <c:formatCode>General</c:formatCode>
                <c:ptCount val="7"/>
                <c:pt idx="0">
                  <c:v>32.988900000000001</c:v>
                </c:pt>
                <c:pt idx="1">
                  <c:v>42.0792</c:v>
                </c:pt>
                <c:pt idx="2">
                  <c:v>49.267899999999997</c:v>
                </c:pt>
                <c:pt idx="3">
                  <c:v>55.417499999999997</c:v>
                </c:pt>
                <c:pt idx="4">
                  <c:v>61.134399999999999</c:v>
                </c:pt>
                <c:pt idx="5">
                  <c:v>66.644300000000001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7-4990-9ABD-44DFACA3236C}"/>
            </c:ext>
          </c:extLst>
        </c:ser>
        <c:ser>
          <c:idx val="2"/>
          <c:order val="2"/>
          <c:tx>
            <c:strRef>
              <c:f>'Grafico 1 LM'!$P$11</c:f>
              <c:strCache>
                <c:ptCount val="1"/>
                <c:pt idx="0">
                  <c:v>P = 10 atm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'Grafico 1 LM'!$Q$8:$W$8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LM'!$Q$11:$W$11</c:f>
              <c:numCache>
                <c:formatCode>General</c:formatCode>
                <c:ptCount val="7"/>
                <c:pt idx="0">
                  <c:v>27.3642</c:v>
                </c:pt>
                <c:pt idx="1">
                  <c:v>36.990900000000003</c:v>
                </c:pt>
                <c:pt idx="2">
                  <c:v>45.281399999999998</c:v>
                </c:pt>
                <c:pt idx="3">
                  <c:v>52.3996</c:v>
                </c:pt>
                <c:pt idx="4">
                  <c:v>58.539299999999997</c:v>
                </c:pt>
                <c:pt idx="5">
                  <c:v>64.087000000000003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7-4990-9ABD-44DFACA3236C}"/>
            </c:ext>
          </c:extLst>
        </c:ser>
        <c:ser>
          <c:idx val="3"/>
          <c:order val="3"/>
          <c:tx>
            <c:strRef>
              <c:f>'Grafico 1 LM'!$P$12</c:f>
              <c:strCache>
                <c:ptCount val="1"/>
                <c:pt idx="0">
                  <c:v>P = 15 atm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'Grafico 1 LM'!$Q$8:$W$8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LM'!$Q$12:$W$12</c:f>
              <c:numCache>
                <c:formatCode>General</c:formatCode>
                <c:ptCount val="7"/>
                <c:pt idx="0">
                  <c:v>24.352799999999998</c:v>
                </c:pt>
                <c:pt idx="1">
                  <c:v>33.8887</c:v>
                </c:pt>
                <c:pt idx="2">
                  <c:v>42.488</c:v>
                </c:pt>
                <c:pt idx="3">
                  <c:v>50.145400000000002</c:v>
                </c:pt>
                <c:pt idx="4">
                  <c:v>56.709099999999999</c:v>
                </c:pt>
                <c:pt idx="5">
                  <c:v>62.450600000000001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7-4990-9ABD-44DFACA32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313679"/>
        <c:axId val="603312847"/>
      </c:barChart>
      <c:catAx>
        <c:axId val="603313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Temperatura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3312847"/>
        <c:crosses val="autoZero"/>
        <c:auto val="1"/>
        <c:lblAlgn val="ctr"/>
        <c:lblOffset val="100"/>
        <c:noMultiLvlLbl val="0"/>
      </c:catAx>
      <c:valAx>
        <c:axId val="603312847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Conversão CO</a:t>
                </a:r>
                <a:r>
                  <a:rPr lang="en-US" sz="900"/>
                  <a:t>2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331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Título do Gráfico 0,8:0,2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1 LM'!$P$27</c:f>
              <c:strCache>
                <c:ptCount val="1"/>
                <c:pt idx="0">
                  <c:v>Convertion CO2 (%) (1 atm)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'Grafico 1 LM'!$Q$26:$W$26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LM'!$Q$27:$W$27</c:f>
              <c:numCache>
                <c:formatCode>0.00</c:formatCode>
                <c:ptCount val="7"/>
                <c:pt idx="0" formatCode="General">
                  <c:v>79.757999999999996</c:v>
                </c:pt>
                <c:pt idx="1">
                  <c:v>81.358699999999999</c:v>
                </c:pt>
                <c:pt idx="2">
                  <c:v>81.467200000000005</c:v>
                </c:pt>
                <c:pt idx="3">
                  <c:v>83.469099999999997</c:v>
                </c:pt>
                <c:pt idx="4">
                  <c:v>87.115200000000002</c:v>
                </c:pt>
                <c:pt idx="5">
                  <c:v>91.409899999999993</c:v>
                </c:pt>
                <c:pt idx="6">
                  <c:v>94.683400000000006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8-4B74-B29E-F4D6996CE268}"/>
            </c:ext>
          </c:extLst>
        </c:ser>
        <c:ser>
          <c:idx val="1"/>
          <c:order val="1"/>
          <c:tx>
            <c:strRef>
              <c:f>'Grafico 1 LM'!$P$28</c:f>
              <c:strCache>
                <c:ptCount val="1"/>
                <c:pt idx="0">
                  <c:v>Convertion CO2 (%) (5 atm)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'Grafico 1 LM'!$Q$26:$W$26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LM'!$Q$28:$W$28</c:f>
              <c:numCache>
                <c:formatCode>General</c:formatCode>
                <c:ptCount val="7"/>
                <c:pt idx="0">
                  <c:v>71.511300000000006</c:v>
                </c:pt>
                <c:pt idx="1">
                  <c:v>82.193100000000001</c:v>
                </c:pt>
                <c:pt idx="2">
                  <c:v>84.279300000000006</c:v>
                </c:pt>
                <c:pt idx="3">
                  <c:v>84.968800000000002</c:v>
                </c:pt>
                <c:pt idx="4">
                  <c:v>85.919300000000007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68-4B74-B29E-F4D6996CE268}"/>
            </c:ext>
          </c:extLst>
        </c:ser>
        <c:ser>
          <c:idx val="2"/>
          <c:order val="2"/>
          <c:tx>
            <c:strRef>
              <c:f>'Grafico 1 LM'!$P$29</c:f>
              <c:strCache>
                <c:ptCount val="1"/>
                <c:pt idx="0">
                  <c:v>Convertion CO2 (%) (10 atm)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'Grafico 1 LM'!$Q$26:$W$26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LM'!$Q$29:$W$29</c:f>
              <c:numCache>
                <c:formatCode>General</c:formatCode>
                <c:ptCount val="7"/>
                <c:pt idx="0">
                  <c:v>61.874400000000001</c:v>
                </c:pt>
                <c:pt idx="1">
                  <c:v>78.438299999999998</c:v>
                </c:pt>
                <c:pt idx="2">
                  <c:v>83.825500000000005</c:v>
                </c:pt>
                <c:pt idx="3">
                  <c:v>85.753699999999995</c:v>
                </c:pt>
                <c:pt idx="4">
                  <c:v>86.650499999999994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68-4B74-B29E-F4D6996CE268}"/>
            </c:ext>
          </c:extLst>
        </c:ser>
        <c:ser>
          <c:idx val="3"/>
          <c:order val="3"/>
          <c:tx>
            <c:strRef>
              <c:f>'Grafico 1 LM'!$P$30</c:f>
              <c:strCache>
                <c:ptCount val="1"/>
                <c:pt idx="0">
                  <c:v>Convertion CO2 (%) (15 atm)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'Grafico 1 LM'!$Q$26:$W$26</c:f>
              <c:numCache>
                <c:formatCode>General</c:formatCode>
                <c:ptCount val="7"/>
                <c:pt idx="0">
                  <c:v>823</c:v>
                </c:pt>
                <c:pt idx="1">
                  <c:v>873</c:v>
                </c:pt>
                <c:pt idx="2">
                  <c:v>923</c:v>
                </c:pt>
                <c:pt idx="3">
                  <c:v>973</c:v>
                </c:pt>
                <c:pt idx="4">
                  <c:v>1023</c:v>
                </c:pt>
                <c:pt idx="5">
                  <c:v>1073</c:v>
                </c:pt>
                <c:pt idx="6">
                  <c:v>1123</c:v>
                </c:pt>
              </c:numCache>
            </c:numRef>
          </c:cat>
          <c:val>
            <c:numRef>
              <c:f>'Grafico 1 LM'!$Q$30:$W$30</c:f>
              <c:numCache>
                <c:formatCode>General</c:formatCode>
                <c:ptCount val="7"/>
                <c:pt idx="0">
                  <c:v>56.022599999999997</c:v>
                </c:pt>
                <c:pt idx="1">
                  <c:v>75.165700000000001</c:v>
                </c:pt>
                <c:pt idx="2">
                  <c:v>82.917000000000002</c:v>
                </c:pt>
                <c:pt idx="3">
                  <c:v>85.994900000000001</c:v>
                </c:pt>
                <c:pt idx="4">
                  <c:v>87.209000000000003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68-4B74-B29E-F4D6996CE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5039135"/>
        <c:axId val="1345041215"/>
      </c:barChart>
      <c:catAx>
        <c:axId val="134503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5041215"/>
        <c:crosses val="autoZero"/>
        <c:auto val="1"/>
        <c:lblAlgn val="ctr"/>
        <c:lblOffset val="100"/>
        <c:noMultiLvlLbl val="0"/>
      </c:catAx>
      <c:valAx>
        <c:axId val="1345041215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503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439560</xdr:colOff>
      <xdr:row>13</xdr:row>
      <xdr:rowOff>4680</xdr:rowOff>
    </xdr:from>
    <xdr:to>
      <xdr:col>23</xdr:col>
      <xdr:colOff>462600</xdr:colOff>
      <xdr:row>29</xdr:row>
      <xdr:rowOff>162000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409680</xdr:colOff>
      <xdr:row>33</xdr:row>
      <xdr:rowOff>108720</xdr:rowOff>
    </xdr:from>
    <xdr:to>
      <xdr:col>24</xdr:col>
      <xdr:colOff>333360</xdr:colOff>
      <xdr:row>53</xdr:row>
      <xdr:rowOff>15480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81643</xdr:colOff>
      <xdr:row>30</xdr:row>
      <xdr:rowOff>156028</xdr:rowOff>
    </xdr:from>
    <xdr:to>
      <xdr:col>4</xdr:col>
      <xdr:colOff>598714</xdr:colOff>
      <xdr:row>47</xdr:row>
      <xdr:rowOff>126546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909F436-FAF9-4B96-B90F-F392DF9EBD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82</xdr:row>
      <xdr:rowOff>152852</xdr:rowOff>
    </xdr:from>
    <xdr:to>
      <xdr:col>4</xdr:col>
      <xdr:colOff>513896</xdr:colOff>
      <xdr:row>99</xdr:row>
      <xdr:rowOff>129719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B6C52C2-82D4-4674-91D2-2423DA3D4B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13607</xdr:colOff>
      <xdr:row>31</xdr:row>
      <xdr:rowOff>9524</xdr:rowOff>
    </xdr:from>
    <xdr:to>
      <xdr:col>20</xdr:col>
      <xdr:colOff>296182</xdr:colOff>
      <xdr:row>47</xdr:row>
      <xdr:rowOff>143328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B0D5277-EDAE-4EFC-8F7C-BC95A9EF9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57604</xdr:colOff>
      <xdr:row>83</xdr:row>
      <xdr:rowOff>16782</xdr:rowOff>
    </xdr:from>
    <xdr:to>
      <xdr:col>20</xdr:col>
      <xdr:colOff>337004</xdr:colOff>
      <xdr:row>99</xdr:row>
      <xdr:rowOff>153760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A86498D4-440E-4E4A-8BC4-C785D3CE1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opLeftCell="A18" zoomScale="83" zoomScaleNormal="83" workbookViewId="0">
      <selection activeCell="F60" sqref="F60"/>
    </sheetView>
  </sheetViews>
  <sheetFormatPr defaultColWidth="11.54296875" defaultRowHeight="12.5"/>
  <cols>
    <col min="1" max="1" width="6.81640625" customWidth="1"/>
    <col min="2" max="2" width="24.453125" customWidth="1"/>
    <col min="3" max="6" width="15.54296875" customWidth="1"/>
    <col min="7" max="7" width="14.81640625" customWidth="1"/>
    <col min="8" max="8" width="13.453125" customWidth="1"/>
    <col min="9" max="9" width="14.1796875" customWidth="1"/>
    <col min="10" max="10" width="15.54296875" customWidth="1"/>
    <col min="11" max="11" width="15.1796875" customWidth="1"/>
    <col min="12" max="12" width="13.81640625" customWidth="1"/>
    <col min="13" max="13" width="15.26953125" customWidth="1"/>
    <col min="14" max="14" width="14.7265625" customWidth="1"/>
    <col min="15" max="17" width="15.7265625" customWidth="1"/>
  </cols>
  <sheetData>
    <row r="1" spans="1:26" ht="13">
      <c r="B1" s="1" t="s">
        <v>0</v>
      </c>
    </row>
    <row r="2" spans="1:26">
      <c r="B2" t="s">
        <v>1</v>
      </c>
    </row>
    <row r="3" spans="1:26" ht="13">
      <c r="B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3" t="s">
        <v>12</v>
      </c>
      <c r="M3" s="3" t="s">
        <v>13</v>
      </c>
      <c r="N3" s="3" t="s">
        <v>14</v>
      </c>
      <c r="O3" s="4" t="s">
        <v>15</v>
      </c>
      <c r="P3" s="4" t="s">
        <v>16</v>
      </c>
      <c r="Q3" s="4" t="s">
        <v>17</v>
      </c>
      <c r="R3" s="5"/>
      <c r="T3" s="5"/>
      <c r="U3" s="5"/>
      <c r="V3" s="5"/>
      <c r="X3" s="5"/>
      <c r="Y3" s="5"/>
      <c r="Z3" s="5"/>
    </row>
    <row r="4" spans="1:26" ht="13">
      <c r="B4" t="s">
        <v>18</v>
      </c>
      <c r="C4">
        <v>101325</v>
      </c>
      <c r="D4">
        <v>101325</v>
      </c>
      <c r="E4">
        <v>101325</v>
      </c>
      <c r="F4">
        <v>101325</v>
      </c>
      <c r="G4">
        <v>101325</v>
      </c>
      <c r="H4">
        <v>101325</v>
      </c>
      <c r="I4">
        <v>101325</v>
      </c>
      <c r="J4">
        <v>101325</v>
      </c>
      <c r="K4">
        <v>101325</v>
      </c>
      <c r="L4">
        <v>101325</v>
      </c>
      <c r="M4">
        <v>101325</v>
      </c>
      <c r="N4">
        <v>101325</v>
      </c>
      <c r="O4">
        <v>101325</v>
      </c>
      <c r="P4">
        <v>101325</v>
      </c>
      <c r="Q4">
        <v>101325</v>
      </c>
      <c r="T4" s="6"/>
      <c r="U4" s="6"/>
      <c r="V4" s="6"/>
      <c r="X4" s="6"/>
      <c r="Y4" s="6"/>
      <c r="Z4" s="6"/>
    </row>
    <row r="5" spans="1:26">
      <c r="B5" t="s">
        <v>19</v>
      </c>
      <c r="C5">
        <v>0.01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0.01</v>
      </c>
      <c r="L5">
        <v>0.01</v>
      </c>
      <c r="M5">
        <v>0.01</v>
      </c>
      <c r="N5">
        <v>0.01</v>
      </c>
      <c r="O5">
        <v>0.01</v>
      </c>
      <c r="P5">
        <v>0.01</v>
      </c>
      <c r="Q5">
        <v>0.01</v>
      </c>
    </row>
    <row r="6" spans="1:26">
      <c r="B6" t="s">
        <v>20</v>
      </c>
    </row>
    <row r="7" spans="1:26" ht="9" customHeight="1"/>
    <row r="8" spans="1:26" ht="15.5">
      <c r="B8" t="s">
        <v>21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T8" s="7"/>
      <c r="U8" s="8"/>
      <c r="V8" s="8"/>
      <c r="X8" s="8"/>
      <c r="Y8" s="8"/>
      <c r="Z8" s="8"/>
    </row>
    <row r="9" spans="1:26" ht="15.5">
      <c r="B9" t="s">
        <v>22</v>
      </c>
      <c r="C9">
        <f t="shared" ref="C9:Q9" si="0">C8/(1+C8)</f>
        <v>0.5</v>
      </c>
      <c r="D9">
        <f t="shared" si="0"/>
        <v>0.5</v>
      </c>
      <c r="E9">
        <f t="shared" si="0"/>
        <v>0.5</v>
      </c>
      <c r="F9">
        <f t="shared" si="0"/>
        <v>0.5</v>
      </c>
      <c r="G9">
        <f t="shared" si="0"/>
        <v>0.5</v>
      </c>
      <c r="H9">
        <f t="shared" si="0"/>
        <v>0.5</v>
      </c>
      <c r="I9">
        <f t="shared" si="0"/>
        <v>0.5</v>
      </c>
      <c r="J9">
        <f t="shared" si="0"/>
        <v>0.5</v>
      </c>
      <c r="K9">
        <f t="shared" si="0"/>
        <v>0.5</v>
      </c>
      <c r="L9">
        <f t="shared" si="0"/>
        <v>0.5</v>
      </c>
      <c r="M9">
        <f t="shared" si="0"/>
        <v>0.5</v>
      </c>
      <c r="N9">
        <f t="shared" si="0"/>
        <v>0.5</v>
      </c>
      <c r="O9">
        <f t="shared" si="0"/>
        <v>0.5</v>
      </c>
      <c r="P9">
        <f t="shared" si="0"/>
        <v>0.5</v>
      </c>
      <c r="Q9">
        <f t="shared" si="0"/>
        <v>0.5</v>
      </c>
    </row>
    <row r="10" spans="1:26" ht="15.5">
      <c r="B10" t="s">
        <v>23</v>
      </c>
      <c r="C10">
        <f t="shared" ref="C10:Q10" si="1">1/(1+C8)</f>
        <v>0.5</v>
      </c>
      <c r="D10">
        <f t="shared" si="1"/>
        <v>0.5</v>
      </c>
      <c r="E10">
        <f t="shared" si="1"/>
        <v>0.5</v>
      </c>
      <c r="F10">
        <f t="shared" si="1"/>
        <v>0.5</v>
      </c>
      <c r="G10">
        <f t="shared" si="1"/>
        <v>0.5</v>
      </c>
      <c r="H10">
        <f t="shared" si="1"/>
        <v>0.5</v>
      </c>
      <c r="I10">
        <f t="shared" si="1"/>
        <v>0.5</v>
      </c>
      <c r="J10">
        <f t="shared" si="1"/>
        <v>0.5</v>
      </c>
      <c r="K10">
        <f t="shared" si="1"/>
        <v>0.5</v>
      </c>
      <c r="L10">
        <f t="shared" si="1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</row>
    <row r="11" spans="1:26" ht="7.5" customHeight="1">
      <c r="J11" s="9"/>
      <c r="K11" s="9"/>
    </row>
    <row r="12" spans="1:26" ht="13">
      <c r="C12" s="5" t="s">
        <v>24</v>
      </c>
      <c r="D12" s="5" t="s">
        <v>24</v>
      </c>
      <c r="E12" s="5" t="s">
        <v>24</v>
      </c>
      <c r="F12" s="5" t="s">
        <v>24</v>
      </c>
      <c r="G12" s="5" t="s">
        <v>24</v>
      </c>
      <c r="H12" s="5" t="s">
        <v>24</v>
      </c>
      <c r="I12" s="5" t="s">
        <v>24</v>
      </c>
      <c r="J12" s="5" t="s">
        <v>24</v>
      </c>
      <c r="K12" s="5"/>
      <c r="L12" s="10"/>
      <c r="M12" s="5"/>
      <c r="N12" s="5"/>
      <c r="P12" s="5"/>
      <c r="Q12" s="5"/>
      <c r="R12" s="5"/>
      <c r="T12" s="5"/>
      <c r="U12" s="5"/>
      <c r="V12" s="5"/>
      <c r="X12" s="5"/>
      <c r="Y12" s="5"/>
      <c r="Z12" s="5"/>
    </row>
    <row r="13" spans="1:26" ht="13">
      <c r="A13" t="s">
        <v>25</v>
      </c>
      <c r="C13" s="2" t="s">
        <v>3</v>
      </c>
      <c r="D13" s="2" t="s">
        <v>4</v>
      </c>
      <c r="E13" s="2" t="s">
        <v>5</v>
      </c>
      <c r="F13" s="2" t="s">
        <v>6</v>
      </c>
      <c r="G13" s="2" t="s">
        <v>7</v>
      </c>
      <c r="H13" s="2" t="s">
        <v>8</v>
      </c>
      <c r="I13" s="2" t="s">
        <v>9</v>
      </c>
      <c r="J13" s="2" t="s">
        <v>10</v>
      </c>
      <c r="K13" s="2" t="s">
        <v>11</v>
      </c>
      <c r="L13" s="3" t="s">
        <v>12</v>
      </c>
      <c r="M13" s="3" t="s">
        <v>13</v>
      </c>
      <c r="N13" s="3" t="s">
        <v>14</v>
      </c>
      <c r="O13" s="4" t="s">
        <v>15</v>
      </c>
      <c r="P13" s="4" t="s">
        <v>16</v>
      </c>
      <c r="Q13" s="4" t="s">
        <v>17</v>
      </c>
      <c r="R13" s="5"/>
      <c r="T13" s="5"/>
      <c r="U13" s="5"/>
      <c r="V13" s="5"/>
      <c r="X13" s="5"/>
      <c r="Y13" s="5"/>
      <c r="Z13" s="5"/>
    </row>
    <row r="14" spans="1:26" ht="15.5">
      <c r="A14" s="11"/>
      <c r="B14" s="12" t="s">
        <v>26</v>
      </c>
      <c r="C14" s="9">
        <v>4.497727E-3</v>
      </c>
      <c r="D14" s="9">
        <v>3.7325574000000002E-3</v>
      </c>
      <c r="E14" s="9">
        <v>2.3944194000000002E-3</v>
      </c>
      <c r="F14" s="9">
        <v>1.146343E-3</v>
      </c>
      <c r="G14" s="9">
        <v>5.3949483999999996E-4</v>
      </c>
      <c r="H14" s="9">
        <v>2.4817174000000002E-4</v>
      </c>
      <c r="I14" s="9">
        <v>1.1262527000000001E-4</v>
      </c>
      <c r="J14" s="10">
        <v>5.2354132000000002E-5</v>
      </c>
      <c r="K14" s="10">
        <v>2.4882441999999999E-5</v>
      </c>
      <c r="L14" s="10">
        <v>1.1525835E-5</v>
      </c>
      <c r="M14" s="10">
        <v>5.2968460999999998E-6</v>
      </c>
      <c r="N14" s="10">
        <v>2.7443622E-6</v>
      </c>
      <c r="O14" s="10">
        <v>1.7351375999999999E-6</v>
      </c>
      <c r="P14" s="10">
        <v>1.1525835E-5</v>
      </c>
      <c r="Q14" s="13"/>
      <c r="R14" s="10"/>
      <c r="T14" s="9"/>
      <c r="U14" s="9"/>
      <c r="V14" s="10"/>
      <c r="X14" s="10"/>
      <c r="Y14" s="10"/>
      <c r="Z14" s="10"/>
    </row>
    <row r="15" spans="1:26" ht="17">
      <c r="A15" s="14" t="s">
        <v>27</v>
      </c>
      <c r="B15" s="12" t="s">
        <v>28</v>
      </c>
      <c r="C15" s="9">
        <v>4.5770313000000002E-3</v>
      </c>
      <c r="D15" s="9">
        <v>4.0958098E-3</v>
      </c>
      <c r="E15" s="9">
        <v>3.4005918E-3</v>
      </c>
      <c r="F15" s="9">
        <v>2.8513869999999999E-3</v>
      </c>
      <c r="G15" s="9">
        <v>2.5630221999999999E-3</v>
      </c>
      <c r="H15" s="9">
        <v>2.2905447000000001E-3</v>
      </c>
      <c r="I15" s="9">
        <v>1.9789724E-3</v>
      </c>
      <c r="J15" s="9">
        <v>1.6368935999999999E-3</v>
      </c>
      <c r="K15" s="9">
        <v>1.2903596E-3</v>
      </c>
      <c r="L15" s="9">
        <v>1.0024413000000001E-3</v>
      </c>
      <c r="M15" s="9">
        <v>8.2189659000000005E-4</v>
      </c>
      <c r="N15" s="9">
        <v>7.2713279E-4</v>
      </c>
      <c r="O15" s="9">
        <v>6.7503922999999995E-4</v>
      </c>
      <c r="P15" s="9">
        <v>1.0024413000000001E-3</v>
      </c>
      <c r="Q15" s="15" t="s">
        <v>29</v>
      </c>
      <c r="R15" s="10"/>
      <c r="T15" s="9"/>
      <c r="U15" s="9"/>
      <c r="V15" s="10"/>
      <c r="X15" s="10"/>
      <c r="Y15" s="10"/>
      <c r="Z15" s="10"/>
    </row>
    <row r="16" spans="1:26" ht="13">
      <c r="A16" s="14" t="s">
        <v>30</v>
      </c>
      <c r="B16" s="12" t="s">
        <v>31</v>
      </c>
      <c r="C16" s="9">
        <v>2.6056596E-4</v>
      </c>
      <c r="D16" s="9">
        <v>4.5078856000000002E-4</v>
      </c>
      <c r="E16" s="9">
        <v>6.9773785E-4</v>
      </c>
      <c r="F16" s="9">
        <v>1.0594112E-3</v>
      </c>
      <c r="G16" s="9">
        <v>1.6960356E-3</v>
      </c>
      <c r="H16" s="9">
        <v>2.5567163999999998E-3</v>
      </c>
      <c r="I16" s="9">
        <v>3.5466593999999999E-3</v>
      </c>
      <c r="J16" s="9">
        <v>4.6102540999999999E-3</v>
      </c>
      <c r="K16" s="9">
        <v>5.6728463999999998E-3</v>
      </c>
      <c r="L16" s="9">
        <v>6.5270826000000002E-3</v>
      </c>
      <c r="M16" s="9">
        <v>7.0107896999999997E-3</v>
      </c>
      <c r="N16" s="9">
        <v>7.1936190000000001E-3</v>
      </c>
      <c r="O16" s="9">
        <v>7.2221391999999999E-3</v>
      </c>
      <c r="P16" s="9">
        <v>6.5270826000000002E-3</v>
      </c>
      <c r="Q16" s="9"/>
      <c r="R16" s="10"/>
      <c r="T16" s="9"/>
      <c r="U16" s="9"/>
      <c r="V16" s="10"/>
      <c r="X16" s="10"/>
      <c r="Y16" s="10"/>
      <c r="Z16" s="10"/>
    </row>
    <row r="17" spans="1:26" ht="15.5">
      <c r="A17" s="14" t="s">
        <v>32</v>
      </c>
      <c r="B17" s="12" t="s">
        <v>33</v>
      </c>
      <c r="C17" s="9">
        <v>5.8537157E-4</v>
      </c>
      <c r="D17" s="9">
        <v>1.3575919999999999E-3</v>
      </c>
      <c r="E17" s="9">
        <v>2.5010787000000001E-3</v>
      </c>
      <c r="F17" s="9">
        <v>3.2378149999999998E-3</v>
      </c>
      <c r="G17" s="9">
        <v>3.1779203E-3</v>
      </c>
      <c r="H17" s="9">
        <v>2.8621942999999999E-3</v>
      </c>
      <c r="I17" s="9">
        <v>2.4953959E-3</v>
      </c>
      <c r="J17" s="9">
        <v>2.1159589000000001E-3</v>
      </c>
      <c r="K17" s="9">
        <v>1.7464346E-3</v>
      </c>
      <c r="L17" s="9">
        <v>1.4680349000000001E-3</v>
      </c>
      <c r="M17" s="9">
        <v>1.3454172999999999E-3</v>
      </c>
      <c r="N17" s="9">
        <v>1.3521156000000001E-3</v>
      </c>
      <c r="O17" s="9">
        <v>1.4277826E-3</v>
      </c>
      <c r="P17" s="9">
        <v>1.4680349000000001E-3</v>
      </c>
      <c r="Q17" s="9"/>
      <c r="R17" s="10"/>
      <c r="T17" s="9"/>
      <c r="U17" s="9"/>
      <c r="V17" s="10"/>
      <c r="X17" s="10"/>
      <c r="Y17" s="10"/>
      <c r="Z17" s="10"/>
    </row>
    <row r="18" spans="1:26" ht="13">
      <c r="A18" s="14" t="s">
        <v>34</v>
      </c>
      <c r="B18" s="12" t="s">
        <v>35</v>
      </c>
      <c r="C18" s="9">
        <v>6.6467592999999996E-4</v>
      </c>
      <c r="D18" s="9">
        <v>1.7208443999999999E-3</v>
      </c>
      <c r="E18" s="9">
        <v>3.5072510999999999E-3</v>
      </c>
      <c r="F18" s="9">
        <v>4.942859E-3</v>
      </c>
      <c r="G18" s="9">
        <v>5.2014475999999999E-3</v>
      </c>
      <c r="H18" s="9">
        <v>4.9045673E-3</v>
      </c>
      <c r="I18" s="9">
        <v>4.3617431E-3</v>
      </c>
      <c r="J18" s="9">
        <v>3.7004984000000001E-3</v>
      </c>
      <c r="K18" s="9">
        <v>3.0119117000000002E-3</v>
      </c>
      <c r="L18" s="9">
        <v>2.4589503999999998E-3</v>
      </c>
      <c r="M18" s="9">
        <v>2.1620171000000001E-3</v>
      </c>
      <c r="N18" s="9">
        <v>2.0765040999999999E-3</v>
      </c>
      <c r="O18" s="9">
        <v>2.1010867000000001E-3</v>
      </c>
      <c r="P18" s="9">
        <v>2.4589503999999998E-3</v>
      </c>
      <c r="Q18" s="9"/>
      <c r="R18" s="10"/>
      <c r="T18" s="9"/>
      <c r="U18" s="9"/>
      <c r="V18" s="10"/>
      <c r="X18" s="10"/>
      <c r="Y18" s="10"/>
      <c r="Z18" s="10"/>
    </row>
    <row r="19" spans="1:26" ht="15.5">
      <c r="A19" s="16"/>
      <c r="B19" s="12" t="s">
        <v>36</v>
      </c>
      <c r="C19" s="9">
        <v>4.1917468999999998E-4</v>
      </c>
      <c r="D19" s="9">
        <v>1.1772932999999999E-3</v>
      </c>
      <c r="E19" s="9">
        <v>2.7100827000000002E-3</v>
      </c>
      <c r="F19" s="9">
        <v>4.4694992999999997E-3</v>
      </c>
      <c r="G19" s="9">
        <v>5.7430902999999998E-3</v>
      </c>
      <c r="H19" s="9">
        <v>6.6414624E-3</v>
      </c>
      <c r="I19" s="9">
        <v>7.2793537000000004E-3</v>
      </c>
      <c r="J19" s="9">
        <v>7.7793330000000003E-3</v>
      </c>
      <c r="K19" s="9">
        <v>8.2038007999999992E-3</v>
      </c>
      <c r="L19" s="9">
        <v>8.5089135999999992E-3</v>
      </c>
      <c r="M19" s="9">
        <v>8.6439892000000004E-3</v>
      </c>
      <c r="N19" s="9">
        <v>8.6423957999999992E-3</v>
      </c>
      <c r="O19" s="9">
        <v>8.5687474E-3</v>
      </c>
      <c r="P19" s="9">
        <v>8.5089135999999992E-3</v>
      </c>
      <c r="Q19" s="17"/>
      <c r="R19" s="9"/>
      <c r="T19" s="9"/>
      <c r="U19" s="9"/>
      <c r="V19" s="9"/>
      <c r="X19" s="9"/>
      <c r="Y19" s="9"/>
      <c r="Z19" s="9"/>
    </row>
    <row r="20" spans="1:26" ht="10.4" customHeight="1">
      <c r="B20" s="18" t="s">
        <v>20</v>
      </c>
      <c r="F20" s="19">
        <f t="shared" ref="F20:Q20" si="2">SUM(F14:F19)</f>
        <v>1.7707314499999998E-2</v>
      </c>
      <c r="G20" s="19">
        <f t="shared" si="2"/>
        <v>1.8921010839999999E-2</v>
      </c>
      <c r="H20" s="19">
        <f t="shared" si="2"/>
        <v>1.9503656839999998E-2</v>
      </c>
      <c r="I20" s="19">
        <f t="shared" si="2"/>
        <v>1.9774749769999999E-2</v>
      </c>
      <c r="J20" s="19">
        <f t="shared" si="2"/>
        <v>1.9895292132E-2</v>
      </c>
      <c r="K20" s="19">
        <f t="shared" si="2"/>
        <v>1.9950235541999997E-2</v>
      </c>
      <c r="L20" s="19">
        <f t="shared" si="2"/>
        <v>1.9976948634999998E-2</v>
      </c>
      <c r="M20" s="19">
        <f t="shared" si="2"/>
        <v>1.9989406736100002E-2</v>
      </c>
      <c r="N20" s="19">
        <f t="shared" si="2"/>
        <v>1.9994511652199998E-2</v>
      </c>
      <c r="O20" s="19">
        <f t="shared" si="2"/>
        <v>1.99965302676E-2</v>
      </c>
      <c r="P20" s="19">
        <f t="shared" si="2"/>
        <v>1.9976948634999998E-2</v>
      </c>
      <c r="Q20" s="19">
        <f t="shared" si="2"/>
        <v>0</v>
      </c>
      <c r="R20" s="9"/>
      <c r="T20" s="9"/>
      <c r="U20" s="9"/>
      <c r="V20" s="9"/>
      <c r="X20" s="9"/>
      <c r="Y20" s="9"/>
      <c r="Z20" s="9"/>
    </row>
    <row r="21" spans="1:26" ht="10.4" customHeight="1">
      <c r="B21" s="18"/>
      <c r="F21" s="19"/>
      <c r="G21" s="19"/>
      <c r="H21" s="19"/>
      <c r="I21" s="19"/>
      <c r="J21" s="19"/>
      <c r="K21" s="9"/>
      <c r="L21" s="9"/>
      <c r="M21" s="9"/>
      <c r="P21" s="9"/>
      <c r="Q21" s="9"/>
      <c r="R21" s="9"/>
      <c r="T21" s="9"/>
      <c r="U21" s="9"/>
      <c r="V21" s="9"/>
      <c r="X21" s="9"/>
      <c r="Y21" s="9"/>
      <c r="Z21" s="9"/>
    </row>
    <row r="22" spans="1:26" ht="13">
      <c r="C22" s="5" t="s">
        <v>24</v>
      </c>
      <c r="D22" s="5" t="s">
        <v>24</v>
      </c>
      <c r="E22" s="5" t="s">
        <v>24</v>
      </c>
      <c r="F22" s="5" t="s">
        <v>24</v>
      </c>
      <c r="G22" s="5" t="s">
        <v>24</v>
      </c>
      <c r="H22" s="5" t="s">
        <v>24</v>
      </c>
      <c r="I22" s="5" t="s">
        <v>24</v>
      </c>
      <c r="J22" s="5" t="s">
        <v>24</v>
      </c>
      <c r="K22" s="9"/>
      <c r="L22" s="5"/>
      <c r="M22" s="9"/>
      <c r="P22" s="9"/>
      <c r="Q22" s="9"/>
      <c r="R22" s="10"/>
      <c r="T22" s="9"/>
      <c r="U22" s="9"/>
      <c r="V22" s="9"/>
      <c r="X22" s="9"/>
      <c r="Y22" s="9"/>
      <c r="Z22" s="9"/>
    </row>
    <row r="23" spans="1:26" ht="13">
      <c r="A23" s="11" t="s">
        <v>27</v>
      </c>
      <c r="B23" t="s">
        <v>37</v>
      </c>
      <c r="C23" s="10">
        <v>1.6297300000000001E-7</v>
      </c>
      <c r="D23" s="10">
        <v>3.95515E-7</v>
      </c>
      <c r="E23" s="10">
        <v>8.0645400000000003E-7</v>
      </c>
      <c r="F23" s="10">
        <v>1.31762E-6</v>
      </c>
      <c r="G23" s="10">
        <v>1.7838500000000001E-6</v>
      </c>
      <c r="H23" s="10">
        <v>2.1495899999999999E-6</v>
      </c>
      <c r="I23" s="10">
        <v>2.3560500000000001E-6</v>
      </c>
      <c r="J23" s="10">
        <v>2.4403799999999998E-6</v>
      </c>
      <c r="K23" s="10">
        <v>2.4745600000000002E-6</v>
      </c>
      <c r="L23" s="10">
        <v>2.4899500000000002E-6</v>
      </c>
      <c r="M23" s="10">
        <v>2.49671E-6</v>
      </c>
      <c r="N23" s="10">
        <v>2.4998600000000002E-6</v>
      </c>
      <c r="O23" s="10">
        <v>2.5003099999999999E-6</v>
      </c>
      <c r="P23" s="10">
        <v>2.4899500000000002E-6</v>
      </c>
      <c r="Q23" s="10"/>
      <c r="R23" s="10"/>
      <c r="T23" s="9"/>
      <c r="U23" s="9"/>
      <c r="V23" s="9"/>
      <c r="X23" s="9"/>
      <c r="Y23" s="9"/>
      <c r="Z23" s="9"/>
    </row>
    <row r="24" spans="1:26" ht="13">
      <c r="A24" s="14"/>
      <c r="B24" s="9" t="s">
        <v>38</v>
      </c>
      <c r="C24" s="10"/>
      <c r="J24" s="20"/>
      <c r="K24" s="10"/>
      <c r="P24" s="10"/>
      <c r="Q24" s="9"/>
      <c r="R24" s="10"/>
      <c r="T24" s="9"/>
      <c r="U24" s="9"/>
      <c r="V24" s="9"/>
      <c r="X24" s="9"/>
      <c r="Y24" s="9"/>
      <c r="Z24" s="9"/>
    </row>
    <row r="25" spans="1:26" ht="13">
      <c r="A25" s="14" t="s">
        <v>30</v>
      </c>
      <c r="C25" s="10"/>
      <c r="G25" s="5"/>
      <c r="H25" s="5"/>
      <c r="I25" s="5"/>
      <c r="J25" s="20"/>
      <c r="K25" s="10"/>
      <c r="P25" s="10"/>
    </row>
    <row r="26" spans="1:26" ht="13">
      <c r="A26" s="14"/>
      <c r="B26" t="s">
        <v>39</v>
      </c>
      <c r="C26" s="10">
        <v>4.2296900000000001E-7</v>
      </c>
      <c r="D26" s="10">
        <v>9.0419E-7</v>
      </c>
      <c r="E26" s="10">
        <v>1.5994099999999999E-6</v>
      </c>
      <c r="F26" s="10">
        <v>2.1486099999999999E-6</v>
      </c>
      <c r="G26" s="10">
        <v>2.43698E-6</v>
      </c>
      <c r="H26" s="10">
        <v>2.7094599999999998E-6</v>
      </c>
      <c r="I26" s="10">
        <v>3.0210299999999999E-6</v>
      </c>
      <c r="J26" s="10">
        <v>3.3631099999999999E-6</v>
      </c>
      <c r="K26" s="10">
        <v>3.7096399999999999E-6</v>
      </c>
      <c r="L26" s="10">
        <v>3.9975600000000002E-6</v>
      </c>
      <c r="M26" s="10">
        <v>4.1780999999999999E-6</v>
      </c>
      <c r="N26" s="10">
        <v>4.2728699999999998E-6</v>
      </c>
      <c r="O26" s="10">
        <v>4.3249599999999998E-6</v>
      </c>
      <c r="P26" s="10">
        <v>3.9975600000000002E-6</v>
      </c>
      <c r="Q26" s="10"/>
    </row>
    <row r="27" spans="1:26" ht="13">
      <c r="A27" s="14" t="s">
        <v>40</v>
      </c>
      <c r="B27" s="9" t="s">
        <v>41</v>
      </c>
      <c r="J27" s="21"/>
      <c r="K27" s="21"/>
    </row>
    <row r="28" spans="1:26">
      <c r="A28" s="14"/>
      <c r="J28" s="21"/>
      <c r="K28" s="21"/>
    </row>
    <row r="29" spans="1:26" ht="13">
      <c r="A29" s="14"/>
      <c r="B29" t="s">
        <v>42</v>
      </c>
      <c r="C29" s="10">
        <v>3.3929999999999997E-7</v>
      </c>
      <c r="D29" s="10">
        <v>8.71928E-7</v>
      </c>
      <c r="E29" s="10">
        <v>1.79913E-6</v>
      </c>
      <c r="F29" s="10">
        <v>2.5360299999999999E-6</v>
      </c>
      <c r="G29" s="10">
        <v>2.67665E-6</v>
      </c>
      <c r="H29" s="10">
        <v>2.6022400000000001E-6</v>
      </c>
      <c r="I29" s="10">
        <v>2.5313199999999999E-6</v>
      </c>
      <c r="J29" s="10">
        <v>2.5072700000000001E-6</v>
      </c>
      <c r="K29" s="10">
        <v>2.50056E-6</v>
      </c>
      <c r="L29" s="10">
        <v>2.49852E-6</v>
      </c>
      <c r="M29" s="10">
        <v>2.4979900000000002E-6</v>
      </c>
      <c r="N29" s="10">
        <v>2.4973900000000002E-6</v>
      </c>
      <c r="O29" s="10">
        <v>2.4979599999999998E-6</v>
      </c>
      <c r="P29" s="10">
        <v>2.49852E-6</v>
      </c>
      <c r="Q29" s="10"/>
    </row>
    <row r="30" spans="1:26" ht="13">
      <c r="A30" s="14" t="s">
        <v>43</v>
      </c>
      <c r="B30" s="9" t="s">
        <v>44</v>
      </c>
    </row>
    <row r="31" spans="1:26">
      <c r="A31" s="22"/>
    </row>
    <row r="32" spans="1:26" ht="13">
      <c r="A32" s="14">
        <v>1</v>
      </c>
      <c r="C32" s="2" t="s">
        <v>3</v>
      </c>
      <c r="D32" s="2" t="s">
        <v>4</v>
      </c>
      <c r="E32" s="2" t="s">
        <v>5</v>
      </c>
      <c r="F32" s="2" t="s">
        <v>6</v>
      </c>
      <c r="G32" s="2" t="s">
        <v>7</v>
      </c>
      <c r="H32" s="2" t="s">
        <v>8</v>
      </c>
      <c r="I32" s="2" t="s">
        <v>9</v>
      </c>
      <c r="J32" s="2" t="s">
        <v>10</v>
      </c>
      <c r="K32" s="2" t="s">
        <v>11</v>
      </c>
      <c r="L32" s="3" t="s">
        <v>12</v>
      </c>
      <c r="M32" s="3" t="s">
        <v>13</v>
      </c>
      <c r="N32" s="3" t="s">
        <v>14</v>
      </c>
      <c r="O32" s="4" t="s">
        <v>15</v>
      </c>
      <c r="P32" s="4" t="s">
        <v>16</v>
      </c>
      <c r="Q32" s="4" t="s">
        <v>17</v>
      </c>
    </row>
    <row r="33" spans="1:17" ht="15.5">
      <c r="A33" s="14"/>
      <c r="B33" s="12" t="s">
        <v>45</v>
      </c>
      <c r="C33" s="9">
        <v>10.045500000000001</v>
      </c>
      <c r="D33" s="9">
        <v>25.3489</v>
      </c>
      <c r="E33" s="9">
        <v>52.111600000000003</v>
      </c>
      <c r="F33" s="9">
        <v>77.073099999999997</v>
      </c>
      <c r="G33" s="9">
        <v>89.210099999999997</v>
      </c>
      <c r="H33" s="9">
        <v>95.036600000000007</v>
      </c>
      <c r="I33" s="9">
        <v>97.747500000000002</v>
      </c>
      <c r="J33" s="9">
        <v>98.9529</v>
      </c>
      <c r="K33" s="9">
        <v>99.502399999999994</v>
      </c>
      <c r="L33" s="9">
        <v>99.769499999999994</v>
      </c>
      <c r="M33" s="9">
        <v>99.894099999999995</v>
      </c>
      <c r="N33" s="9">
        <v>99.945099999999996</v>
      </c>
      <c r="O33" s="9">
        <v>99.965299999999999</v>
      </c>
      <c r="P33" s="9">
        <v>99.769499999999994</v>
      </c>
      <c r="Q33" s="9"/>
    </row>
    <row r="34" spans="1:17" ht="15.5">
      <c r="A34" s="23"/>
      <c r="B34" s="12" t="s">
        <v>46</v>
      </c>
      <c r="C34" s="9">
        <v>8.4593699999999998</v>
      </c>
      <c r="D34" s="9">
        <v>18.0838</v>
      </c>
      <c r="E34" s="9">
        <v>31.988199999999999</v>
      </c>
      <c r="F34" s="9">
        <v>42.972299999999997</v>
      </c>
      <c r="G34" s="9">
        <v>48.739600000000003</v>
      </c>
      <c r="H34" s="9">
        <v>54.189100000000003</v>
      </c>
      <c r="I34" s="9">
        <v>60.4206</v>
      </c>
      <c r="J34" s="9">
        <v>67.262100000000004</v>
      </c>
      <c r="K34" s="9">
        <v>74.192800000000005</v>
      </c>
      <c r="L34" s="9">
        <v>79.9512</v>
      </c>
      <c r="M34" s="9">
        <v>83.562100000000001</v>
      </c>
      <c r="N34" s="9">
        <v>85.457300000000004</v>
      </c>
      <c r="O34" s="9">
        <v>86.499200000000002</v>
      </c>
      <c r="P34" s="9">
        <v>79.9512</v>
      </c>
      <c r="Q34" s="9"/>
    </row>
    <row r="35" spans="1:17" ht="13">
      <c r="B35" s="12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ht="13">
      <c r="A36" t="s">
        <v>25</v>
      </c>
      <c r="C36" s="2" t="s">
        <v>3</v>
      </c>
      <c r="D36" s="2" t="s">
        <v>4</v>
      </c>
      <c r="E36" s="2" t="s">
        <v>5</v>
      </c>
      <c r="F36" s="2" t="s">
        <v>6</v>
      </c>
      <c r="G36" s="2" t="s">
        <v>7</v>
      </c>
      <c r="H36" s="2" t="s">
        <v>8</v>
      </c>
      <c r="I36" s="2" t="s">
        <v>9</v>
      </c>
      <c r="J36" s="2" t="s">
        <v>10</v>
      </c>
      <c r="K36" s="2" t="s">
        <v>11</v>
      </c>
      <c r="L36" s="3" t="s">
        <v>12</v>
      </c>
      <c r="M36" s="3" t="s">
        <v>13</v>
      </c>
      <c r="N36" s="3" t="s">
        <v>14</v>
      </c>
      <c r="O36" s="4" t="s">
        <v>15</v>
      </c>
      <c r="P36" s="4" t="s">
        <v>16</v>
      </c>
      <c r="Q36" s="4" t="s">
        <v>17</v>
      </c>
    </row>
    <row r="37" spans="1:17">
      <c r="B37" s="12" t="s">
        <v>47</v>
      </c>
      <c r="C37">
        <f t="shared" ref="C37:Q37" si="3">C29/(C23+C29)</f>
        <v>0.6755290449616046</v>
      </c>
      <c r="D37">
        <f t="shared" si="3"/>
        <v>0.68794257414337368</v>
      </c>
      <c r="E37">
        <f t="shared" si="3"/>
        <v>0.69049011661109372</v>
      </c>
      <c r="F37">
        <f t="shared" si="3"/>
        <v>0.65808519196086823</v>
      </c>
      <c r="G37">
        <f t="shared" si="3"/>
        <v>0.6000784665396256</v>
      </c>
      <c r="H37">
        <f t="shared" si="3"/>
        <v>0.54762901871489522</v>
      </c>
      <c r="I37">
        <f t="shared" si="3"/>
        <v>0.51793091171734496</v>
      </c>
      <c r="J37">
        <f t="shared" si="3"/>
        <v>0.50675977484260204</v>
      </c>
      <c r="K37">
        <f t="shared" si="3"/>
        <v>0.50261300229944195</v>
      </c>
      <c r="L37">
        <f t="shared" si="3"/>
        <v>0.50085898080974722</v>
      </c>
      <c r="M37">
        <f t="shared" si="3"/>
        <v>0.50012813582397342</v>
      </c>
      <c r="N37">
        <f t="shared" si="3"/>
        <v>0.49975286407524139</v>
      </c>
      <c r="O37">
        <f t="shared" si="3"/>
        <v>0.49976491866185702</v>
      </c>
      <c r="P37">
        <f t="shared" si="3"/>
        <v>0.50085898080974722</v>
      </c>
      <c r="Q37" t="e">
        <f t="shared" si="3"/>
        <v>#DIV/0!</v>
      </c>
    </row>
    <row r="38" spans="1:17" ht="15.5">
      <c r="B38" s="12" t="s">
        <v>48</v>
      </c>
      <c r="C38">
        <f t="shared" ref="C38:Q38" si="4">C19/C16</f>
        <v>1.608708558861641</v>
      </c>
      <c r="D38">
        <f t="shared" si="4"/>
        <v>2.6116308275436269</v>
      </c>
      <c r="E38">
        <f t="shared" si="4"/>
        <v>3.8840987342165834</v>
      </c>
      <c r="F38">
        <f t="shared" si="4"/>
        <v>4.2188522265953008</v>
      </c>
      <c r="G38">
        <f t="shared" si="4"/>
        <v>3.3861849951734504</v>
      </c>
      <c r="H38">
        <f t="shared" si="4"/>
        <v>2.5976531460431045</v>
      </c>
      <c r="I38">
        <f t="shared" si="4"/>
        <v>2.0524535567187536</v>
      </c>
      <c r="J38">
        <f t="shared" si="4"/>
        <v>1.6873978811710184</v>
      </c>
      <c r="K38">
        <f t="shared" si="4"/>
        <v>1.4461524641315866</v>
      </c>
      <c r="L38">
        <f t="shared" si="4"/>
        <v>1.3036319779375856</v>
      </c>
      <c r="M38">
        <f t="shared" si="4"/>
        <v>1.2329551405599859</v>
      </c>
      <c r="N38">
        <f t="shared" si="4"/>
        <v>1.2013974885242045</v>
      </c>
      <c r="O38">
        <f t="shared" si="4"/>
        <v>1.186455586455603</v>
      </c>
      <c r="P38">
        <f t="shared" si="4"/>
        <v>1.3036319779375856</v>
      </c>
      <c r="Q38" t="e">
        <f t="shared" si="4"/>
        <v>#DIV/0!</v>
      </c>
    </row>
    <row r="39" spans="1:17" ht="13">
      <c r="C39" s="24"/>
      <c r="D39" s="24"/>
      <c r="E39" s="24"/>
    </row>
    <row r="40" spans="1:17" ht="13">
      <c r="C40" s="24"/>
      <c r="D40" s="24"/>
      <c r="E40" s="24"/>
    </row>
    <row r="41" spans="1:17" ht="13">
      <c r="C41" s="24"/>
      <c r="D41" s="24"/>
      <c r="E41" s="24"/>
    </row>
    <row r="42" spans="1:17" ht="13">
      <c r="C42" s="24"/>
      <c r="D42" s="24"/>
      <c r="E42" s="24"/>
    </row>
  </sheetData>
  <pageMargins left="0.39374999999999999" right="0.39374999999999999" top="0.78749999999999998" bottom="0.78749999999999998" header="0.511811023622047" footer="0.511811023622047"/>
  <pageSetup paperSize="9" orientation="landscape" useFirstPageNumber="1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5"/>
  <sheetViews>
    <sheetView topLeftCell="A18" zoomScale="83" zoomScaleNormal="83" workbookViewId="0">
      <selection activeCell="C54" sqref="C54"/>
    </sheetView>
  </sheetViews>
  <sheetFormatPr defaultColWidth="11.54296875" defaultRowHeight="12.5"/>
  <cols>
    <col min="1" max="1" width="6.54296875" customWidth="1"/>
    <col min="2" max="2" width="30.7265625" customWidth="1"/>
    <col min="3" max="3" width="13.54296875" customWidth="1"/>
    <col min="4" max="6" width="12.7265625" customWidth="1"/>
    <col min="7" max="7" width="2" customWidth="1"/>
    <col min="8" max="11" width="12.7265625" customWidth="1"/>
    <col min="12" max="12" width="2" customWidth="1"/>
    <col min="13" max="16" width="12.7265625" customWidth="1"/>
    <col min="17" max="17" width="2" customWidth="1"/>
    <col min="18" max="21" width="12.7265625" customWidth="1"/>
    <col min="22" max="22" width="2" customWidth="1"/>
    <col min="23" max="26" width="12.7265625" customWidth="1"/>
    <col min="27" max="27" width="2" customWidth="1"/>
    <col min="28" max="31" width="12.7265625" customWidth="1"/>
    <col min="32" max="32" width="2" customWidth="1"/>
    <col min="33" max="36" width="12.7265625" customWidth="1"/>
  </cols>
  <sheetData>
    <row r="1" spans="1:36" ht="12.75" customHeight="1"/>
    <row r="2" spans="1:36" ht="12.75" customHeight="1">
      <c r="A2" s="11"/>
      <c r="B2" s="12" t="s">
        <v>49</v>
      </c>
      <c r="C2" s="2" t="s">
        <v>6</v>
      </c>
      <c r="D2" s="2" t="s">
        <v>6</v>
      </c>
      <c r="E2" s="2" t="s">
        <v>6</v>
      </c>
      <c r="F2" s="2" t="s">
        <v>6</v>
      </c>
      <c r="G2" s="2"/>
      <c r="H2" s="2" t="s">
        <v>50</v>
      </c>
      <c r="I2" s="2" t="s">
        <v>50</v>
      </c>
      <c r="J2" s="2" t="s">
        <v>50</v>
      </c>
      <c r="K2" s="2" t="s">
        <v>50</v>
      </c>
      <c r="L2" s="2"/>
      <c r="M2" s="2" t="s">
        <v>8</v>
      </c>
      <c r="N2" s="2" t="s">
        <v>8</v>
      </c>
      <c r="O2" s="2" t="s">
        <v>8</v>
      </c>
      <c r="P2" s="2" t="s">
        <v>8</v>
      </c>
      <c r="Q2" s="2"/>
      <c r="R2" s="2" t="s">
        <v>9</v>
      </c>
      <c r="S2" s="2" t="s">
        <v>9</v>
      </c>
      <c r="T2" s="2" t="s">
        <v>9</v>
      </c>
      <c r="U2" s="2" t="s">
        <v>9</v>
      </c>
      <c r="W2" s="2" t="s">
        <v>10</v>
      </c>
      <c r="X2" s="2" t="s">
        <v>10</v>
      </c>
      <c r="Y2" s="2" t="s">
        <v>10</v>
      </c>
      <c r="Z2" s="2" t="s">
        <v>10</v>
      </c>
      <c r="AA2" s="2"/>
      <c r="AB2" s="2" t="s">
        <v>11</v>
      </c>
      <c r="AC2" s="2" t="s">
        <v>11</v>
      </c>
      <c r="AD2" s="2" t="s">
        <v>11</v>
      </c>
      <c r="AE2" s="2" t="s">
        <v>11</v>
      </c>
      <c r="AG2" s="2" t="s">
        <v>12</v>
      </c>
      <c r="AH2" s="2" t="s">
        <v>12</v>
      </c>
      <c r="AI2" s="2" t="s">
        <v>12</v>
      </c>
      <c r="AJ2" s="2" t="s">
        <v>12</v>
      </c>
    </row>
    <row r="3" spans="1:36" ht="12.75" customHeight="1">
      <c r="A3" s="14" t="s">
        <v>40</v>
      </c>
      <c r="B3" s="12" t="s">
        <v>51</v>
      </c>
      <c r="C3">
        <v>101325</v>
      </c>
      <c r="D3">
        <v>101325</v>
      </c>
      <c r="E3">
        <v>101325</v>
      </c>
      <c r="F3">
        <v>101325</v>
      </c>
      <c r="H3">
        <v>101325</v>
      </c>
      <c r="I3">
        <v>101325</v>
      </c>
      <c r="J3">
        <v>101325</v>
      </c>
      <c r="K3">
        <v>101325</v>
      </c>
      <c r="M3">
        <v>101325</v>
      </c>
      <c r="N3">
        <v>101325</v>
      </c>
      <c r="O3">
        <v>101325</v>
      </c>
      <c r="P3">
        <v>101325</v>
      </c>
      <c r="R3">
        <v>101325</v>
      </c>
      <c r="S3">
        <v>101325</v>
      </c>
      <c r="T3">
        <v>101325</v>
      </c>
      <c r="U3">
        <v>101325</v>
      </c>
      <c r="W3">
        <v>101325</v>
      </c>
      <c r="X3">
        <v>101325</v>
      </c>
      <c r="Y3">
        <v>101325</v>
      </c>
      <c r="Z3">
        <v>101325</v>
      </c>
      <c r="AB3">
        <v>101325</v>
      </c>
      <c r="AC3">
        <v>101325</v>
      </c>
      <c r="AD3">
        <v>101325</v>
      </c>
      <c r="AE3">
        <v>101325</v>
      </c>
      <c r="AG3">
        <v>101325</v>
      </c>
      <c r="AH3">
        <v>101325</v>
      </c>
      <c r="AI3">
        <v>101325</v>
      </c>
      <c r="AJ3">
        <v>101325</v>
      </c>
    </row>
    <row r="4" spans="1:36" ht="12.75" customHeight="1">
      <c r="A4" s="14" t="s">
        <v>52</v>
      </c>
      <c r="B4" s="12" t="s">
        <v>53</v>
      </c>
      <c r="C4">
        <v>0.01</v>
      </c>
      <c r="D4">
        <v>0.01</v>
      </c>
      <c r="E4">
        <v>0.01</v>
      </c>
      <c r="F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  <c r="AC4">
        <v>0.01</v>
      </c>
      <c r="AD4">
        <v>0.01</v>
      </c>
      <c r="AE4">
        <v>0.01</v>
      </c>
      <c r="AG4">
        <v>0.01</v>
      </c>
      <c r="AH4">
        <v>0.01</v>
      </c>
      <c r="AI4">
        <v>0.01</v>
      </c>
      <c r="AJ4">
        <v>0.01</v>
      </c>
    </row>
    <row r="5" spans="1:36" ht="12.75" customHeight="1">
      <c r="A5" s="14" t="s">
        <v>52</v>
      </c>
    </row>
    <row r="6" spans="1:36" ht="12.75" customHeight="1">
      <c r="A6" s="14" t="s">
        <v>34</v>
      </c>
      <c r="B6" s="25" t="s">
        <v>54</v>
      </c>
    </row>
    <row r="7" spans="1:36" ht="12.75" customHeight="1">
      <c r="A7" s="14"/>
      <c r="B7" s="12" t="s">
        <v>21</v>
      </c>
      <c r="C7">
        <v>1</v>
      </c>
      <c r="D7">
        <v>1</v>
      </c>
      <c r="E7">
        <v>1</v>
      </c>
      <c r="F7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  <c r="AC7">
        <v>1</v>
      </c>
      <c r="AD7">
        <v>1</v>
      </c>
      <c r="AE7">
        <v>1</v>
      </c>
      <c r="AG7">
        <v>1</v>
      </c>
      <c r="AH7">
        <v>1</v>
      </c>
      <c r="AI7">
        <v>1</v>
      </c>
      <c r="AJ7">
        <v>1</v>
      </c>
    </row>
    <row r="8" spans="1:36" ht="12.75" customHeight="1">
      <c r="A8" s="26" t="s">
        <v>55</v>
      </c>
      <c r="B8" s="12" t="s">
        <v>22</v>
      </c>
      <c r="C8">
        <v>0.5</v>
      </c>
      <c r="D8">
        <v>0.6</v>
      </c>
      <c r="E8">
        <v>0.7</v>
      </c>
      <c r="F8">
        <v>0.8</v>
      </c>
      <c r="H8" s="41">
        <v>0.5</v>
      </c>
      <c r="I8">
        <v>0.6</v>
      </c>
      <c r="J8">
        <v>0.7</v>
      </c>
      <c r="K8">
        <v>0.8</v>
      </c>
      <c r="M8" s="41">
        <v>0.5</v>
      </c>
      <c r="N8">
        <v>0.6</v>
      </c>
      <c r="O8">
        <v>0.7</v>
      </c>
      <c r="P8">
        <v>0.8</v>
      </c>
      <c r="R8" s="41">
        <v>0.5</v>
      </c>
      <c r="S8">
        <v>0.6</v>
      </c>
      <c r="T8">
        <v>0.7</v>
      </c>
      <c r="U8">
        <v>0.8</v>
      </c>
      <c r="W8" s="41">
        <v>0.5</v>
      </c>
      <c r="X8">
        <v>0.6</v>
      </c>
      <c r="Y8">
        <v>0.7</v>
      </c>
      <c r="Z8">
        <v>0.8</v>
      </c>
      <c r="AB8">
        <f>AB7/(1+AB7)</f>
        <v>0.5</v>
      </c>
      <c r="AC8">
        <v>0.6</v>
      </c>
      <c r="AD8">
        <v>0.7</v>
      </c>
      <c r="AE8">
        <v>0.8</v>
      </c>
      <c r="AG8" s="41">
        <v>0.5</v>
      </c>
      <c r="AH8">
        <v>0.6</v>
      </c>
      <c r="AI8">
        <v>0.7</v>
      </c>
      <c r="AJ8">
        <v>0.8</v>
      </c>
    </row>
    <row r="9" spans="1:36" ht="12.75" customHeight="1">
      <c r="A9" s="16"/>
      <c r="B9" s="12" t="s">
        <v>23</v>
      </c>
      <c r="C9">
        <v>0.5</v>
      </c>
      <c r="D9">
        <v>0.4</v>
      </c>
      <c r="E9">
        <v>0.3</v>
      </c>
      <c r="F9">
        <v>0.2</v>
      </c>
      <c r="H9" s="41">
        <v>0.5</v>
      </c>
      <c r="I9">
        <v>0.4</v>
      </c>
      <c r="J9">
        <v>0.3</v>
      </c>
      <c r="K9">
        <v>0.2</v>
      </c>
      <c r="M9" s="41">
        <v>0.5</v>
      </c>
      <c r="N9">
        <v>0.4</v>
      </c>
      <c r="O9">
        <v>0.3</v>
      </c>
      <c r="P9">
        <v>0.2</v>
      </c>
      <c r="R9" s="41">
        <v>0.5</v>
      </c>
      <c r="S9">
        <v>0.4</v>
      </c>
      <c r="T9">
        <v>0.3</v>
      </c>
      <c r="U9">
        <v>0.2</v>
      </c>
      <c r="W9" s="41">
        <v>0.5</v>
      </c>
      <c r="X9">
        <v>0.4</v>
      </c>
      <c r="Y9">
        <v>0.3</v>
      </c>
      <c r="Z9">
        <v>0.2</v>
      </c>
      <c r="AB9">
        <f>1/(1+AB7)</f>
        <v>0.5</v>
      </c>
      <c r="AC9">
        <v>0.4</v>
      </c>
      <c r="AD9">
        <v>0.3</v>
      </c>
      <c r="AE9">
        <v>0.2</v>
      </c>
      <c r="AG9" s="41">
        <v>0.5</v>
      </c>
      <c r="AH9">
        <v>0.4</v>
      </c>
      <c r="AI9">
        <v>0.3</v>
      </c>
      <c r="AJ9">
        <v>0.2</v>
      </c>
    </row>
    <row r="10" spans="1:36" ht="12.75" customHeight="1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W10" s="5"/>
      <c r="X10" s="5"/>
      <c r="Y10" s="5"/>
      <c r="Z10" s="5"/>
      <c r="AA10" s="5"/>
      <c r="AB10" s="5"/>
      <c r="AC10" s="5"/>
      <c r="AD10" s="5"/>
      <c r="AE10" s="5"/>
      <c r="AG10" s="5"/>
      <c r="AH10" s="5"/>
      <c r="AI10" s="5"/>
      <c r="AJ10" s="5"/>
    </row>
    <row r="11" spans="1:36" ht="12.75" customHeight="1">
      <c r="A11" s="27"/>
      <c r="B11" s="25" t="s">
        <v>56</v>
      </c>
      <c r="C11" s="28"/>
      <c r="D11" s="28"/>
      <c r="E11" s="28"/>
      <c r="F11" s="28"/>
      <c r="G11" s="28"/>
      <c r="H11" s="2"/>
      <c r="I11" s="2"/>
      <c r="J11" s="2"/>
      <c r="K11" s="2"/>
      <c r="L11" s="28"/>
      <c r="M11" s="29"/>
      <c r="N11" s="28"/>
      <c r="O11" s="28"/>
      <c r="P11" s="28"/>
      <c r="Q11" s="28"/>
      <c r="R11" s="2"/>
      <c r="S11" s="2"/>
      <c r="T11" s="2"/>
      <c r="U11" s="2"/>
      <c r="V11" s="30"/>
      <c r="W11" s="28"/>
      <c r="X11" s="28"/>
      <c r="Y11" s="28"/>
      <c r="Z11" s="28"/>
      <c r="AA11" s="28"/>
      <c r="AB11" s="2"/>
      <c r="AC11" s="2"/>
      <c r="AD11" s="2"/>
      <c r="AE11" s="2"/>
      <c r="AF11" s="30"/>
      <c r="AG11" s="28"/>
      <c r="AH11" s="28"/>
      <c r="AI11" s="28"/>
      <c r="AJ11" s="28"/>
    </row>
    <row r="12" spans="1:36" ht="12.75" customHeight="1">
      <c r="A12" s="14" t="s">
        <v>27</v>
      </c>
      <c r="B12" s="12" t="s">
        <v>26</v>
      </c>
      <c r="C12" s="31">
        <v>1.146343E-3</v>
      </c>
      <c r="D12" s="31">
        <v>1.4990933000000001E-3</v>
      </c>
      <c r="E12" s="31">
        <v>1.8367644E-3</v>
      </c>
      <c r="F12" s="31">
        <v>2.1036678999999999E-3</v>
      </c>
      <c r="G12" s="31"/>
      <c r="H12" s="31">
        <v>5.3949483999999996E-4</v>
      </c>
      <c r="I12" s="31">
        <v>7.1673042999999997E-4</v>
      </c>
      <c r="J12" s="31">
        <v>8.8360735000000002E-4</v>
      </c>
      <c r="K12" s="31">
        <v>1.0176956999999999E-3</v>
      </c>
      <c r="L12" s="31"/>
      <c r="M12" s="32">
        <v>2.4817174000000002E-4</v>
      </c>
      <c r="N12" s="31">
        <v>3.4444772E-4</v>
      </c>
      <c r="O12" s="31">
        <v>4.4023089000000003E-4</v>
      </c>
      <c r="P12" s="31">
        <v>5.2614608000000002E-4</v>
      </c>
      <c r="Q12" s="31"/>
      <c r="R12" s="31">
        <v>1.1262527000000001E-4</v>
      </c>
      <c r="S12" s="31">
        <v>1.6475861000000001E-4</v>
      </c>
      <c r="T12" s="31">
        <v>2.2062625E-4</v>
      </c>
      <c r="U12" s="31">
        <v>2.7627476999999998E-4</v>
      </c>
      <c r="V12" s="30"/>
      <c r="W12" s="31">
        <v>5.2354132000000002E-5</v>
      </c>
      <c r="X12" s="31">
        <v>8.0842087999999997E-5</v>
      </c>
      <c r="Y12" s="31">
        <v>1.8367644E-3</v>
      </c>
      <c r="Z12" s="31">
        <v>1.4987249E-4</v>
      </c>
      <c r="AA12" s="31"/>
      <c r="AB12" s="31">
        <v>2.4882441999999999E-5</v>
      </c>
      <c r="AC12" s="31">
        <v>4.1038887000000002E-5</v>
      </c>
      <c r="AD12" s="31">
        <v>6.1019712000000001E-5</v>
      </c>
      <c r="AE12" s="31">
        <v>8.4242364000000007E-5</v>
      </c>
      <c r="AF12" s="30"/>
      <c r="AG12" s="31">
        <v>1.1525835E-5</v>
      </c>
      <c r="AH12" s="31">
        <v>2.0931971999999999E-5</v>
      </c>
      <c r="AI12" s="31">
        <v>3.3462735000000003E-5</v>
      </c>
      <c r="AJ12" s="31">
        <v>4.9409293000000002E-5</v>
      </c>
    </row>
    <row r="13" spans="1:36" ht="12.75" customHeight="1">
      <c r="A13" s="14" t="s">
        <v>30</v>
      </c>
      <c r="B13" s="12" t="s">
        <v>28</v>
      </c>
      <c r="C13" s="31">
        <v>2.8513869999999999E-3</v>
      </c>
      <c r="D13" s="31">
        <v>1.887264E-3</v>
      </c>
      <c r="E13" s="31">
        <v>1.0488524E-3</v>
      </c>
      <c r="F13" s="31">
        <v>4.0484083E-4</v>
      </c>
      <c r="G13" s="31"/>
      <c r="H13" s="31">
        <v>2.5630221999999999E-3</v>
      </c>
      <c r="I13" s="31">
        <v>1.6760765E-3</v>
      </c>
      <c r="J13" s="31">
        <v>9.2935130999999998E-4</v>
      </c>
      <c r="K13" s="31">
        <v>3.7282677E-4</v>
      </c>
      <c r="L13" s="31"/>
      <c r="M13" s="32">
        <v>2.2905447000000001E-3</v>
      </c>
      <c r="N13" s="31">
        <v>1.5021418999999999E-3</v>
      </c>
      <c r="O13" s="31">
        <v>8.5452121000000004E-4</v>
      </c>
      <c r="P13" s="31">
        <v>3.7065680000000003E-4</v>
      </c>
      <c r="Q13" s="31"/>
      <c r="R13" s="31">
        <v>1.9789724E-3</v>
      </c>
      <c r="S13" s="31">
        <v>1.2860968999999999E-3</v>
      </c>
      <c r="T13" s="31">
        <v>7.3560268999999998E-4</v>
      </c>
      <c r="U13" s="31">
        <v>3.3061746999999997E-4</v>
      </c>
      <c r="V13" s="30"/>
      <c r="W13" s="31">
        <v>1.6368935999999999E-3</v>
      </c>
      <c r="X13" s="31">
        <v>1.0374188999999999E-3</v>
      </c>
      <c r="Y13" s="31">
        <v>1.0488524E-3</v>
      </c>
      <c r="Z13" s="31">
        <v>2.5769696999999999E-4</v>
      </c>
      <c r="AA13" s="31"/>
      <c r="AB13" s="31">
        <v>1.2903596E-3</v>
      </c>
      <c r="AC13" s="31">
        <v>7.7850629000000002E-4</v>
      </c>
      <c r="AD13" s="31">
        <v>4.1380795999999999E-4</v>
      </c>
      <c r="AE13" s="31">
        <v>1.7180192E-4</v>
      </c>
      <c r="AF13" s="30"/>
      <c r="AG13" s="31">
        <v>1.0024413000000001E-3</v>
      </c>
      <c r="AH13" s="31">
        <v>5.5336836999999998E-4</v>
      </c>
      <c r="AI13" s="31">
        <v>2.7085645999999999E-4</v>
      </c>
      <c r="AJ13" s="31">
        <v>1.0633115000000001E-4</v>
      </c>
    </row>
    <row r="14" spans="1:36" ht="12.75" customHeight="1">
      <c r="A14" s="14" t="s">
        <v>32</v>
      </c>
      <c r="B14" s="12" t="s">
        <v>31</v>
      </c>
      <c r="C14" s="31">
        <v>1.0594112E-3</v>
      </c>
      <c r="D14" s="31">
        <v>8.4207154999999998E-4</v>
      </c>
      <c r="E14" s="31">
        <v>5.9614271000000001E-4</v>
      </c>
      <c r="F14" s="31">
        <v>3.3582584E-4</v>
      </c>
      <c r="G14" s="31"/>
      <c r="H14" s="31">
        <v>1.6960356E-3</v>
      </c>
      <c r="I14" s="31">
        <v>1.3563415E-3</v>
      </c>
      <c r="J14" s="31">
        <v>9.7317968999999997E-4</v>
      </c>
      <c r="K14" s="31">
        <v>5.7356167000000003E-4</v>
      </c>
      <c r="L14" s="31"/>
      <c r="M14" s="32">
        <v>2.5567163999999998E-3</v>
      </c>
      <c r="N14" s="31">
        <v>2.1021297000000001E-3</v>
      </c>
      <c r="O14" s="31">
        <v>1.5734881999999999E-3</v>
      </c>
      <c r="P14" s="31">
        <v>1.0027737E-3</v>
      </c>
      <c r="Q14" s="31"/>
      <c r="R14" s="31">
        <v>3.5466593999999999E-3</v>
      </c>
      <c r="S14" s="31">
        <v>2.9852390000000002E-3</v>
      </c>
      <c r="T14" s="31">
        <v>2.3110969000000002E-3</v>
      </c>
      <c r="U14" s="31">
        <v>1.5591711000000001E-3</v>
      </c>
      <c r="V14" s="30"/>
      <c r="W14" s="31">
        <v>4.6102540999999999E-3</v>
      </c>
      <c r="X14" s="31">
        <v>3.9367500000000001E-3</v>
      </c>
      <c r="Y14" s="31">
        <v>5.9614271000000001E-4</v>
      </c>
      <c r="Z14" s="31">
        <v>2.1853863999999998E-3</v>
      </c>
      <c r="AA14" s="31"/>
      <c r="AB14" s="31">
        <v>5.6728463999999998E-3</v>
      </c>
      <c r="AC14" s="31">
        <v>4.9006507000000001E-3</v>
      </c>
      <c r="AD14" s="31">
        <v>3.9273262999999997E-3</v>
      </c>
      <c r="AE14" s="31">
        <v>2.7972979000000001E-3</v>
      </c>
      <c r="AF14" s="30"/>
      <c r="AG14" s="31">
        <v>6.5270826000000002E-3</v>
      </c>
      <c r="AH14" s="31">
        <v>5.7215579000000003E-3</v>
      </c>
      <c r="AI14" s="31">
        <v>4.5930401000000001E-3</v>
      </c>
      <c r="AJ14" s="31">
        <v>3.2188577000000001E-3</v>
      </c>
    </row>
    <row r="15" spans="1:36" ht="12.75" customHeight="1">
      <c r="A15" s="14" t="s">
        <v>34</v>
      </c>
      <c r="B15" s="12" t="s">
        <v>33</v>
      </c>
      <c r="C15" s="31">
        <v>3.2378149999999998E-3</v>
      </c>
      <c r="D15" s="31">
        <v>3.3834007000000002E-3</v>
      </c>
      <c r="E15" s="31">
        <v>3.3061526999999999E-3</v>
      </c>
      <c r="F15" s="31">
        <v>2.8544926999999999E-3</v>
      </c>
      <c r="G15" s="31"/>
      <c r="H15" s="31">
        <v>3.1779203E-3</v>
      </c>
      <c r="I15" s="31">
        <v>3.2915055999999999E-3</v>
      </c>
      <c r="J15" s="31">
        <v>3.1681179000000001E-3</v>
      </c>
      <c r="K15" s="31">
        <v>2.6807850000000002E-3</v>
      </c>
      <c r="L15" s="31"/>
      <c r="M15" s="32">
        <v>2.8621942999999999E-3</v>
      </c>
      <c r="N15" s="31">
        <v>2.8935866999999999E-3</v>
      </c>
      <c r="O15" s="31">
        <v>2.7174694999999999E-3</v>
      </c>
      <c r="P15" s="31">
        <v>2.2559129E-3</v>
      </c>
      <c r="Q15" s="31"/>
      <c r="R15" s="31">
        <v>2.4953959E-3</v>
      </c>
      <c r="S15" s="31">
        <v>2.4425673000000002E-3</v>
      </c>
      <c r="T15" s="31">
        <v>2.2176980000000002E-3</v>
      </c>
      <c r="U15" s="31">
        <v>1.7795942000000001E-3</v>
      </c>
      <c r="V15" s="30"/>
      <c r="W15" s="31">
        <v>2.1159589000000001E-3</v>
      </c>
      <c r="X15" s="31">
        <v>1.9884122999999998E-3</v>
      </c>
      <c r="Y15" s="31">
        <v>3.3061526999999999E-3</v>
      </c>
      <c r="Z15" s="31">
        <v>1.2992198E-3</v>
      </c>
      <c r="AA15" s="31"/>
      <c r="AB15" s="31">
        <v>1.7464346E-3</v>
      </c>
      <c r="AC15" s="31">
        <v>1.5423368999999999E-3</v>
      </c>
      <c r="AD15" s="31">
        <v>1.2450580000000001E-3</v>
      </c>
      <c r="AE15" s="31">
        <v>8.5909847000000005E-4</v>
      </c>
      <c r="AF15" s="30"/>
      <c r="AG15" s="31">
        <v>1.4680349000000001E-3</v>
      </c>
      <c r="AH15" s="31">
        <v>1.1717056000000001E-3</v>
      </c>
      <c r="AI15" s="31">
        <v>8.6524715999999999E-4</v>
      </c>
      <c r="AJ15" s="31">
        <v>5.6848018000000004E-4</v>
      </c>
    </row>
    <row r="16" spans="1:36" ht="12.75" customHeight="1">
      <c r="A16" s="22"/>
      <c r="B16" s="12" t="s">
        <v>35</v>
      </c>
      <c r="C16" s="31">
        <v>4.942859E-3</v>
      </c>
      <c r="D16" s="31">
        <v>5.7715713999999998E-3</v>
      </c>
      <c r="E16" s="31">
        <v>6.5182408000000001E-3</v>
      </c>
      <c r="F16" s="31">
        <v>7.1556655999999996E-3</v>
      </c>
      <c r="G16" s="31"/>
      <c r="H16" s="31">
        <v>5.2014475999999999E-3</v>
      </c>
      <c r="I16" s="31">
        <v>6.2508516999999998E-3</v>
      </c>
      <c r="J16" s="31">
        <v>7.2138619000000001E-3</v>
      </c>
      <c r="K16" s="31">
        <v>8.0359161000000002E-3</v>
      </c>
      <c r="L16" s="31"/>
      <c r="M16" s="32">
        <v>4.9045673E-3</v>
      </c>
      <c r="N16" s="31">
        <v>6.0512808999999999E-3</v>
      </c>
      <c r="O16" s="31">
        <v>7.1317599000000004E-3</v>
      </c>
      <c r="P16" s="31">
        <v>8.1004236E-3</v>
      </c>
      <c r="Q16" s="31"/>
      <c r="R16" s="31">
        <v>4.3617431E-3</v>
      </c>
      <c r="S16" s="31">
        <v>5.5639056000000003E-3</v>
      </c>
      <c r="T16" s="31">
        <v>6.7326744000000003E-3</v>
      </c>
      <c r="U16" s="31">
        <v>7.8339368999999996E-3</v>
      </c>
      <c r="V16" s="30"/>
      <c r="W16" s="31">
        <v>3.7004984000000001E-3</v>
      </c>
      <c r="X16" s="31">
        <v>4.9449892000000004E-3</v>
      </c>
      <c r="Y16" s="31">
        <v>6.5182408000000001E-3</v>
      </c>
      <c r="Z16" s="31">
        <v>7.4070443000000003E-3</v>
      </c>
      <c r="AA16" s="31"/>
      <c r="AB16" s="31">
        <v>3.0119117000000002E-3</v>
      </c>
      <c r="AC16" s="31">
        <v>4.2798042999999996E-3</v>
      </c>
      <c r="AD16" s="31">
        <v>5.5978462000000001E-3</v>
      </c>
      <c r="AE16" s="31">
        <v>6.9466579999999997E-3</v>
      </c>
      <c r="AF16" s="30"/>
      <c r="AG16" s="31">
        <v>2.4589503999999998E-3</v>
      </c>
      <c r="AH16" s="31">
        <v>3.7041420000000001E-3</v>
      </c>
      <c r="AI16" s="31">
        <v>5.1026409000000002E-3</v>
      </c>
      <c r="AJ16" s="31">
        <v>6.6254019999999999E-3</v>
      </c>
    </row>
    <row r="17" spans="1:36" ht="12.75" customHeight="1">
      <c r="A17" s="14"/>
      <c r="B17" s="12" t="s">
        <v>36</v>
      </c>
      <c r="C17" s="31">
        <v>4.4694992999999997E-3</v>
      </c>
      <c r="D17" s="31">
        <v>5.6184130000000001E-3</v>
      </c>
      <c r="E17" s="31">
        <v>7.0203187999999996E-3</v>
      </c>
      <c r="F17" s="31">
        <v>8.9381715999999993E-3</v>
      </c>
      <c r="G17" s="31"/>
      <c r="H17" s="31">
        <v>5.7430902999999998E-3</v>
      </c>
      <c r="I17" s="31">
        <v>7.2750337E-3</v>
      </c>
      <c r="J17" s="31">
        <v>9.0646675999999995E-3</v>
      </c>
      <c r="K17" s="31">
        <v>1.1283824E-2</v>
      </c>
      <c r="L17" s="31"/>
      <c r="M17" s="32">
        <v>6.6414624E-3</v>
      </c>
      <c r="N17" s="31">
        <v>8.4175180000000006E-3</v>
      </c>
      <c r="O17" s="31">
        <v>1.0402069E-2</v>
      </c>
      <c r="P17" s="31">
        <v>1.2691795000000001E-2</v>
      </c>
      <c r="Q17" s="31"/>
      <c r="R17" s="31">
        <v>7.2793537000000004E-3</v>
      </c>
      <c r="S17" s="31">
        <v>9.2279157000000004E-3</v>
      </c>
      <c r="T17" s="31">
        <v>1.134105E-2</v>
      </c>
      <c r="U17" s="31">
        <v>1.3667856000000001E-2</v>
      </c>
      <c r="V17" s="30"/>
      <c r="W17" s="31">
        <v>7.7793330000000003E-3</v>
      </c>
      <c r="X17" s="31">
        <v>9.8499037000000008E-3</v>
      </c>
      <c r="Y17" s="31">
        <v>7.0203187999999996E-3</v>
      </c>
      <c r="Z17" s="31">
        <v>1.4401035E-2</v>
      </c>
      <c r="AA17" s="31"/>
      <c r="AB17" s="31">
        <v>8.2038007999999992E-3</v>
      </c>
      <c r="AC17" s="31">
        <v>1.0375585999999999E-2</v>
      </c>
      <c r="AD17" s="31">
        <v>1.2632902999999999E-2</v>
      </c>
      <c r="AE17" s="31">
        <v>1.4972417E-2</v>
      </c>
      <c r="AF17" s="30"/>
      <c r="AG17" s="31">
        <v>8.5089135999999992E-3</v>
      </c>
      <c r="AH17" s="31">
        <v>1.0786431000000001E-2</v>
      </c>
      <c r="AI17" s="31">
        <v>1.3067828E-2</v>
      </c>
      <c r="AJ17" s="31">
        <v>1.5332701000000001E-2</v>
      </c>
    </row>
    <row r="18" spans="1:36" ht="12.75" customHeight="1">
      <c r="A18" s="33" t="s">
        <v>57</v>
      </c>
      <c r="B18" s="34" t="s">
        <v>58</v>
      </c>
      <c r="C18" s="35">
        <f>SUM(C12:C17)</f>
        <v>1.7707314499999998E-2</v>
      </c>
      <c r="D18" s="35">
        <f>SUM(D12:D17)</f>
        <v>1.9001813950000002E-2</v>
      </c>
      <c r="E18" s="35">
        <f>SUM(E12:E17)</f>
        <v>2.032647181E-2</v>
      </c>
      <c r="F18" s="35">
        <f>SUM(F12:F17)</f>
        <v>2.1792664470000001E-2</v>
      </c>
      <c r="G18" s="35"/>
      <c r="H18" s="35">
        <f>SUM(H12:H17)</f>
        <v>1.8921010839999999E-2</v>
      </c>
      <c r="I18" s="35">
        <f>SUM(I12:I17)</f>
        <v>2.0566539429999999E-2</v>
      </c>
      <c r="J18" s="35">
        <f>SUM(J12:J17)</f>
        <v>2.2232785749999998E-2</v>
      </c>
      <c r="K18" s="35">
        <f>SUM(K12:K17)</f>
        <v>2.396460924E-2</v>
      </c>
      <c r="L18" s="35"/>
      <c r="M18" s="35">
        <f>SUM(M12:M17)</f>
        <v>1.9503656839999998E-2</v>
      </c>
      <c r="N18" s="35">
        <f>SUM(N12:N17)</f>
        <v>2.1311104920000001E-2</v>
      </c>
      <c r="O18" s="35">
        <f>SUM(O12:O17)</f>
        <v>2.3119538700000001E-2</v>
      </c>
      <c r="P18" s="35">
        <f>SUM(P12:P17)</f>
        <v>2.4947708079999999E-2</v>
      </c>
      <c r="Q18" s="35"/>
      <c r="R18" s="35">
        <f>SUM(R12:R17)</f>
        <v>1.9774749769999999E-2</v>
      </c>
      <c r="S18" s="35">
        <f>SUM(S12:S17)</f>
        <v>2.1670483109999999E-2</v>
      </c>
      <c r="T18" s="35">
        <f>SUM(T12:T17)</f>
        <v>2.3558748240000003E-2</v>
      </c>
      <c r="U18" s="35">
        <f>SUM(U12:U17)</f>
        <v>2.5447450439999998E-2</v>
      </c>
      <c r="V18" s="30"/>
      <c r="W18" s="35">
        <f>SUM(W12:W17)</f>
        <v>1.9895292132E-2</v>
      </c>
      <c r="X18" s="35">
        <f>SUM(X12:X17)</f>
        <v>2.1838316188000001E-2</v>
      </c>
      <c r="Y18" s="35">
        <f>SUM(Y12:Y17)</f>
        <v>2.032647181E-2</v>
      </c>
      <c r="Z18" s="35">
        <f>SUM(Z12:Z17)</f>
        <v>2.5700254959999998E-2</v>
      </c>
      <c r="AA18" s="35"/>
      <c r="AB18" s="35">
        <f>SUM(AB12:AB17)</f>
        <v>1.9950235541999997E-2</v>
      </c>
      <c r="AC18" s="35">
        <f>SUM(AC12:AC17)</f>
        <v>2.1917923076999999E-2</v>
      </c>
      <c r="AD18" s="35">
        <f>SUM(AD12:AD17)</f>
        <v>2.3877961172000001E-2</v>
      </c>
      <c r="AE18" s="35">
        <f>SUM(AE12:AE17)</f>
        <v>2.5831515653999999E-2</v>
      </c>
      <c r="AF18" s="30"/>
      <c r="AG18" s="35">
        <f>SUM(AG12:AG17)</f>
        <v>1.9976948634999998E-2</v>
      </c>
      <c r="AH18" s="35">
        <f>SUM(AH12:AH17)</f>
        <v>2.1958136842000001E-2</v>
      </c>
      <c r="AI18" s="35">
        <f>SUM(AI12:AI17)</f>
        <v>2.3933075355E-2</v>
      </c>
      <c r="AJ18" s="35">
        <f>SUM(AJ12:AJ17)</f>
        <v>2.5901181323000001E-2</v>
      </c>
    </row>
    <row r="19" spans="1:36" ht="12.75" customHeight="1"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0"/>
      <c r="W19" s="36"/>
      <c r="X19" s="36"/>
      <c r="Y19" s="36"/>
      <c r="Z19" s="36"/>
      <c r="AA19" s="36"/>
      <c r="AB19" s="36"/>
      <c r="AC19" s="36"/>
      <c r="AD19" s="36"/>
      <c r="AE19" s="36"/>
      <c r="AF19" s="30"/>
      <c r="AG19" s="36"/>
      <c r="AH19" s="36"/>
      <c r="AI19" s="36"/>
      <c r="AJ19" s="36"/>
    </row>
    <row r="20" spans="1:36" ht="12.75" customHeight="1">
      <c r="A20" s="11" t="s">
        <v>27</v>
      </c>
      <c r="B20" t="s">
        <v>59</v>
      </c>
      <c r="C20" s="31">
        <v>1.31762E-6</v>
      </c>
      <c r="D20" s="31">
        <v>1.43994E-6</v>
      </c>
      <c r="E20" s="31">
        <v>1.5059400000000001E-6</v>
      </c>
      <c r="F20" s="31">
        <v>1.42284E-6</v>
      </c>
      <c r="G20" s="31"/>
      <c r="H20" s="31">
        <v>1.7838500000000001E-6</v>
      </c>
      <c r="I20" s="31">
        <v>2.0072999999999998E-6</v>
      </c>
      <c r="J20" s="31">
        <v>2.1983600000000002E-6</v>
      </c>
      <c r="K20" s="31">
        <v>2.3536499999999999E-6</v>
      </c>
      <c r="L20" s="31"/>
      <c r="M20" s="31">
        <v>2.1495899999999999E-6</v>
      </c>
      <c r="N20" s="31">
        <v>2.4727000000000001E-6</v>
      </c>
      <c r="O20" s="31">
        <v>2.7849400000000001E-6</v>
      </c>
      <c r="P20" s="31">
        <v>3.1548299999999998E-6</v>
      </c>
      <c r="Q20" s="31"/>
      <c r="R20" s="31">
        <v>2.3560500000000001E-6</v>
      </c>
      <c r="S20" s="31">
        <v>2.7739900000000002E-6</v>
      </c>
      <c r="T20" s="31">
        <v>3.1890400000000001E-6</v>
      </c>
      <c r="U20" s="31">
        <v>3.64769E-6</v>
      </c>
      <c r="V20" s="30"/>
      <c r="W20" s="31">
        <v>2.4403799999999998E-6</v>
      </c>
      <c r="X20" s="31">
        <v>2.9049100000000002E-6</v>
      </c>
      <c r="Y20" s="31">
        <v>1.5059400000000001E-6</v>
      </c>
      <c r="Z20" s="31">
        <v>3.8563900000000002E-6</v>
      </c>
      <c r="AA20" s="31"/>
      <c r="AB20" s="31">
        <v>2.4745600000000002E-6</v>
      </c>
      <c r="AC20" s="31">
        <v>2.95871E-6</v>
      </c>
      <c r="AD20" s="31">
        <v>3.4444399999999998E-6</v>
      </c>
      <c r="AE20" s="31">
        <v>3.9406500000000001E-6</v>
      </c>
      <c r="AF20" s="30"/>
      <c r="AG20" s="31">
        <v>2.4899500000000002E-6</v>
      </c>
      <c r="AH20" s="31">
        <v>2.9830399999999999E-6</v>
      </c>
      <c r="AI20" s="31">
        <v>3.4775799999999998E-6</v>
      </c>
      <c r="AJ20" s="31">
        <v>3.9763299999999999E-6</v>
      </c>
    </row>
    <row r="21" spans="1:36" ht="12.75" customHeight="1">
      <c r="A21" s="14"/>
      <c r="B21" s="9" t="s">
        <v>38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1"/>
      <c r="Y21" s="30"/>
      <c r="Z21" s="30"/>
      <c r="AA21" s="30"/>
      <c r="AB21" s="30"/>
      <c r="AC21" s="31"/>
      <c r="AD21" s="30"/>
      <c r="AE21" s="30"/>
      <c r="AF21" s="30"/>
      <c r="AG21" s="30"/>
      <c r="AH21" s="30"/>
      <c r="AI21" s="30"/>
      <c r="AJ21" s="30"/>
    </row>
    <row r="22" spans="1:36" ht="12.75" customHeight="1">
      <c r="A22" s="14" t="s">
        <v>30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6"/>
      <c r="N22" s="30"/>
      <c r="O22" s="30"/>
      <c r="P22" s="30"/>
      <c r="Q22" s="30"/>
      <c r="R22" s="36"/>
      <c r="S22" s="30"/>
      <c r="T22" s="30"/>
      <c r="U22" s="30"/>
      <c r="V22" s="30"/>
      <c r="W22" s="30"/>
      <c r="X22" s="31"/>
      <c r="Y22" s="30"/>
      <c r="Z22" s="30"/>
      <c r="AA22" s="30"/>
      <c r="AB22" s="30"/>
      <c r="AC22" s="31"/>
      <c r="AD22" s="30"/>
      <c r="AE22" s="30"/>
      <c r="AF22" s="30"/>
      <c r="AG22" s="30"/>
      <c r="AH22" s="30"/>
      <c r="AI22" s="30"/>
      <c r="AJ22" s="30"/>
    </row>
    <row r="23" spans="1:36" ht="12.75" customHeight="1">
      <c r="A23" s="14"/>
      <c r="B23" t="s">
        <v>60</v>
      </c>
      <c r="C23" s="31">
        <v>2.1486099999999999E-6</v>
      </c>
      <c r="D23" s="31">
        <v>2.11274E-6</v>
      </c>
      <c r="E23" s="31">
        <v>1.9511499999999999E-6</v>
      </c>
      <c r="F23" s="31">
        <v>1.5951599999999999E-6</v>
      </c>
      <c r="G23" s="31"/>
      <c r="H23" s="31">
        <v>2.43698E-6</v>
      </c>
      <c r="I23" s="31">
        <v>2.32392E-6</v>
      </c>
      <c r="J23" s="31">
        <v>2.0706499999999998E-6</v>
      </c>
      <c r="K23" s="31">
        <v>1.6271700000000001E-6</v>
      </c>
      <c r="L23" s="31"/>
      <c r="M23" s="31">
        <v>2.7094599999999998E-6</v>
      </c>
      <c r="N23" s="31">
        <v>2.49786E-6</v>
      </c>
      <c r="O23" s="31">
        <v>2.1454799999999999E-6</v>
      </c>
      <c r="P23" s="31">
        <v>1.6293400000000001E-6</v>
      </c>
      <c r="Q23" s="31"/>
      <c r="R23" s="31">
        <v>3.0210299999999999E-6</v>
      </c>
      <c r="S23" s="31">
        <v>2.7139E-6</v>
      </c>
      <c r="T23" s="31">
        <v>2.2643999999999999E-6</v>
      </c>
      <c r="U23" s="31">
        <v>1.6693799999999999E-6</v>
      </c>
      <c r="V23" s="30"/>
      <c r="W23" s="31">
        <v>3.3631099999999999E-6</v>
      </c>
      <c r="X23" s="31">
        <v>2.9625800000000001E-6</v>
      </c>
      <c r="Y23" s="31">
        <v>1.9511499999999999E-6</v>
      </c>
      <c r="Z23" s="31">
        <v>1.7423E-6</v>
      </c>
      <c r="AA23" s="31"/>
      <c r="AB23" s="31">
        <v>3.7096399999999999E-6</v>
      </c>
      <c r="AC23" s="31">
        <v>3.2214900000000001E-6</v>
      </c>
      <c r="AD23" s="31">
        <v>2.5861900000000001E-6</v>
      </c>
      <c r="AE23" s="31">
        <v>1.8281999999999999E-6</v>
      </c>
      <c r="AF23" s="30"/>
      <c r="AG23" s="31">
        <v>3.9975600000000002E-6</v>
      </c>
      <c r="AH23" s="31">
        <v>3.4466300000000002E-6</v>
      </c>
      <c r="AI23" s="31">
        <v>2.7291400000000001E-6</v>
      </c>
      <c r="AJ23" s="31">
        <v>1.89367E-6</v>
      </c>
    </row>
    <row r="24" spans="1:36" ht="12.75" customHeight="1">
      <c r="A24" s="14" t="s">
        <v>40</v>
      </c>
      <c r="B24" s="9" t="s">
        <v>41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ht="12.75" customHeight="1">
      <c r="A25" s="14"/>
      <c r="C25" s="30"/>
      <c r="D25" s="30"/>
      <c r="E25" s="30"/>
      <c r="F25" s="31"/>
      <c r="G25" s="31"/>
      <c r="H25" s="30"/>
      <c r="I25" s="30"/>
      <c r="J25" s="30"/>
      <c r="K25" s="30"/>
      <c r="L25" s="31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ht="12.75" customHeight="1">
      <c r="A26" s="14"/>
      <c r="B26" t="s">
        <v>61</v>
      </c>
      <c r="C26" s="31">
        <v>2.5360299999999999E-6</v>
      </c>
      <c r="D26" s="31">
        <v>3.06097E-6</v>
      </c>
      <c r="E26" s="31">
        <v>3.6572899999999998E-6</v>
      </c>
      <c r="F26" s="31">
        <v>4.4734899999999998E-6</v>
      </c>
      <c r="G26" s="31"/>
      <c r="H26" s="31">
        <v>2.67665E-6</v>
      </c>
      <c r="I26" s="31">
        <v>3.2759700000000001E-6</v>
      </c>
      <c r="J26" s="31">
        <v>3.91803E-6</v>
      </c>
      <c r="K26" s="31">
        <v>4.6286500000000001E-6</v>
      </c>
      <c r="L26" s="31"/>
      <c r="M26" s="31">
        <v>2.6022400000000001E-6</v>
      </c>
      <c r="N26" s="31">
        <v>3.1828499999999999E-6</v>
      </c>
      <c r="O26" s="31">
        <v>3.7748299999999998E-6</v>
      </c>
      <c r="P26" s="31">
        <v>4.3190200000000002E-6</v>
      </c>
      <c r="Q26" s="31"/>
      <c r="R26" s="31">
        <v>2.5313199999999999E-6</v>
      </c>
      <c r="S26" s="31">
        <v>3.06126E-6</v>
      </c>
      <c r="T26" s="31">
        <v>3.59034E-6</v>
      </c>
      <c r="U26" s="31">
        <v>4.0760399999999999E-6</v>
      </c>
      <c r="V26" s="30"/>
      <c r="W26" s="31">
        <v>2.5072700000000001E-6</v>
      </c>
      <c r="X26" s="31">
        <v>3.01425E-6</v>
      </c>
      <c r="Y26" s="31">
        <v>3.6572899999999998E-6</v>
      </c>
      <c r="Z26" s="31">
        <v>3.9937399999999998E-6</v>
      </c>
      <c r="AA26" s="31"/>
      <c r="AB26" s="31">
        <v>2.50056E-6</v>
      </c>
      <c r="AC26" s="31">
        <v>3.0002500000000002E-6</v>
      </c>
      <c r="AD26" s="31">
        <v>3.49454E-6</v>
      </c>
      <c r="AE26" s="31">
        <v>3.9751100000000001E-6</v>
      </c>
      <c r="AF26" s="30"/>
      <c r="AG26" s="31">
        <v>2.49852E-6</v>
      </c>
      <c r="AH26" s="31">
        <v>2.9960300000000002E-6</v>
      </c>
      <c r="AI26" s="31">
        <v>3.4889499999999999E-6</v>
      </c>
      <c r="AJ26" s="31">
        <v>3.97426E-6</v>
      </c>
    </row>
    <row r="27" spans="1:36" ht="12.75" customHeight="1">
      <c r="A27" s="14" t="s">
        <v>43</v>
      </c>
      <c r="B27" s="9" t="s">
        <v>44</v>
      </c>
    </row>
    <row r="28" spans="1:36" ht="12.75" customHeight="1">
      <c r="A28" s="22"/>
    </row>
    <row r="29" spans="1:36" ht="12.75" customHeight="1">
      <c r="A29" s="14">
        <v>1</v>
      </c>
      <c r="B29" s="12" t="s">
        <v>45</v>
      </c>
      <c r="C29" s="37">
        <v>77.073099999999997</v>
      </c>
      <c r="D29" s="37">
        <v>75.015100000000004</v>
      </c>
      <c r="E29" s="37">
        <v>73.760499999999993</v>
      </c>
      <c r="F29" s="9">
        <v>73.7042</v>
      </c>
      <c r="G29" s="9"/>
      <c r="H29" s="37">
        <v>89.210099999999997</v>
      </c>
      <c r="I29" s="37">
        <v>88.054500000000004</v>
      </c>
      <c r="J29" s="37">
        <v>87.376999999999995</v>
      </c>
      <c r="K29" s="37">
        <v>87.278800000000004</v>
      </c>
      <c r="L29" s="9"/>
      <c r="M29" s="37">
        <v>95.036600000000007</v>
      </c>
      <c r="N29" s="37">
        <v>94.259200000000007</v>
      </c>
      <c r="O29" s="37">
        <v>93.710999999999999</v>
      </c>
      <c r="P29" s="37">
        <v>93.423199999999994</v>
      </c>
      <c r="Q29" s="37"/>
      <c r="R29" s="37">
        <v>97.747500000000002</v>
      </c>
      <c r="S29" s="37">
        <v>97.254000000000005</v>
      </c>
      <c r="T29" s="37">
        <v>96.848200000000006</v>
      </c>
      <c r="U29" s="37">
        <v>96.546599999999998</v>
      </c>
      <c r="V29" s="38"/>
      <c r="W29" s="37">
        <v>98.9529</v>
      </c>
      <c r="X29" s="37">
        <v>98.652600000000007</v>
      </c>
      <c r="Y29" s="37">
        <v>73.760499999999993</v>
      </c>
      <c r="Z29" s="37">
        <v>98.126599999999996</v>
      </c>
      <c r="AA29" s="37"/>
      <c r="AB29" s="37">
        <v>99.502399999999994</v>
      </c>
      <c r="AC29" s="37">
        <v>99.316000000000003</v>
      </c>
      <c r="AD29" s="37">
        <v>99.128299999999996</v>
      </c>
      <c r="AE29" s="37">
        <v>98.947000000000003</v>
      </c>
      <c r="AF29" s="38"/>
      <c r="AG29" s="37">
        <v>99.769499999999994</v>
      </c>
      <c r="AH29" s="37">
        <v>99.6511</v>
      </c>
      <c r="AI29" s="37">
        <v>99.522000000000006</v>
      </c>
      <c r="AJ29" s="37">
        <v>99.382400000000004</v>
      </c>
    </row>
    <row r="30" spans="1:36" ht="12.75" customHeight="1">
      <c r="A30" s="23"/>
      <c r="B30" s="12" t="s">
        <v>46</v>
      </c>
      <c r="C30" s="37">
        <v>42.972299999999997</v>
      </c>
      <c r="D30" s="37">
        <v>52.818399999999997</v>
      </c>
      <c r="E30" s="37">
        <v>65.038300000000007</v>
      </c>
      <c r="F30" s="9">
        <v>79.757999999999996</v>
      </c>
      <c r="G30" s="9"/>
      <c r="H30" s="37">
        <v>48.739600000000003</v>
      </c>
      <c r="I30" s="37">
        <v>58.098100000000002</v>
      </c>
      <c r="J30" s="37">
        <v>69.021600000000007</v>
      </c>
      <c r="K30" s="37">
        <v>81.358699999999999</v>
      </c>
      <c r="L30" s="9"/>
      <c r="M30" s="37">
        <v>54.189100000000003</v>
      </c>
      <c r="N30" s="37">
        <v>62.4465</v>
      </c>
      <c r="O30" s="37">
        <v>71.516000000000005</v>
      </c>
      <c r="P30" s="37">
        <v>81.467200000000005</v>
      </c>
      <c r="Q30" s="37"/>
      <c r="R30" s="37">
        <v>60.4206</v>
      </c>
      <c r="S30" s="37">
        <v>67.8476</v>
      </c>
      <c r="T30" s="37">
        <v>75.479900000000001</v>
      </c>
      <c r="U30" s="37">
        <v>83.469099999999997</v>
      </c>
      <c r="V30" s="38"/>
      <c r="W30" s="37">
        <v>67.262100000000004</v>
      </c>
      <c r="X30" s="37">
        <v>74.064499999999995</v>
      </c>
      <c r="Y30" s="37">
        <v>65.038300000000007</v>
      </c>
      <c r="Z30" s="37">
        <v>87.115200000000002</v>
      </c>
      <c r="AA30" s="37"/>
      <c r="AB30" s="37">
        <v>74.192800000000005</v>
      </c>
      <c r="AC30" s="37">
        <v>80.537300000000002</v>
      </c>
      <c r="AD30" s="37">
        <v>86.206400000000002</v>
      </c>
      <c r="AE30" s="37">
        <v>91.409899999999993</v>
      </c>
      <c r="AF30" s="38"/>
      <c r="AG30" s="37">
        <v>79.9512</v>
      </c>
      <c r="AH30" s="37">
        <v>86.165800000000004</v>
      </c>
      <c r="AI30" s="37">
        <v>90.971500000000006</v>
      </c>
      <c r="AJ30" s="37">
        <v>94.683400000000006</v>
      </c>
    </row>
    <row r="31" spans="1:36" ht="12.75" customHeight="1">
      <c r="B31" s="12" t="s">
        <v>47</v>
      </c>
      <c r="C31" s="39">
        <f>C26/(C20+C26)</f>
        <v>0.65808519196086823</v>
      </c>
      <c r="D31" s="39">
        <f>D26/(D20+D26)</f>
        <v>0.6800780286653143</v>
      </c>
      <c r="E31" s="39">
        <f>E26/(E20+E26)</f>
        <v>0.70833373682752843</v>
      </c>
      <c r="F31" s="39">
        <f>F26/(F20+F26)</f>
        <v>0.75869057532397266</v>
      </c>
      <c r="G31" s="39"/>
      <c r="H31" s="40">
        <f>H26/(H20+H26)</f>
        <v>0.6000784665396256</v>
      </c>
      <c r="I31" s="40">
        <f>I26/(I20+I26)</f>
        <v>0.62006484620320368</v>
      </c>
      <c r="J31" s="40">
        <f>J26/(J20+J26)</f>
        <v>0.64057883817088179</v>
      </c>
      <c r="K31" s="40">
        <f>K26/(K20+K26)</f>
        <v>0.66291193446285612</v>
      </c>
      <c r="L31" s="39"/>
      <c r="M31" s="39">
        <f>M26/(M20+M26)</f>
        <v>0.54762901871489522</v>
      </c>
      <c r="N31" s="39">
        <f>N26/(N20+N26)</f>
        <v>0.56278346049455841</v>
      </c>
      <c r="O31" s="39">
        <f>O26/(O20+O26)</f>
        <v>0.57545157833277694</v>
      </c>
      <c r="P31" s="39">
        <f>P26/(P20+P26)</f>
        <v>0.57788422299082809</v>
      </c>
      <c r="Q31" s="39"/>
      <c r="R31" s="40">
        <f>R26/(R20+R26)</f>
        <v>0.51793091171734496</v>
      </c>
      <c r="S31" s="40">
        <f>S26/(S20+S26)</f>
        <v>0.52461505505333961</v>
      </c>
      <c r="T31" s="40">
        <f>T26/(T20+T26)</f>
        <v>0.52959710179986963</v>
      </c>
      <c r="U31" s="40">
        <f>U26/(U20+U26)</f>
        <v>0.52772947785590629</v>
      </c>
      <c r="V31" s="39"/>
      <c r="W31" s="39">
        <f>W26/(W20+W26)</f>
        <v>0.50675977484260204</v>
      </c>
      <c r="X31" s="39">
        <f>X26/(X20+X26)</f>
        <v>0.50923610782611051</v>
      </c>
      <c r="Y31" s="39">
        <f>Y26/(Y20+Y26)</f>
        <v>0.70833373682752843</v>
      </c>
      <c r="Z31" s="39">
        <f>Z26/(Z20+Z26)</f>
        <v>0.50874826276762297</v>
      </c>
      <c r="AA31" s="39"/>
      <c r="AB31" s="40">
        <f>AB26/(AB20+AB26)</f>
        <v>0.50261300229944195</v>
      </c>
      <c r="AC31" s="40">
        <f>AC26/(AC20+AC26)</f>
        <v>0.50348550753822818</v>
      </c>
      <c r="AD31" s="40">
        <f>AD26/(AD20+AD26)</f>
        <v>0.50361004066880155</v>
      </c>
      <c r="AE31" s="40">
        <f>AE26/(AE20+AE26)</f>
        <v>0.5021766703386662</v>
      </c>
      <c r="AF31" s="39"/>
      <c r="AG31" s="39">
        <f>AG26/(AG20+AG26)</f>
        <v>0.50085898080974722</v>
      </c>
      <c r="AH31" s="39">
        <f>AH26/(AH20+AH26)</f>
        <v>0.50108628933931199</v>
      </c>
      <c r="AI31" s="39">
        <f>AI26/(AI20+AI26)</f>
        <v>0.50081604471666674</v>
      </c>
      <c r="AJ31" s="39">
        <f>AJ26/(AJ20+AJ26)</f>
        <v>0.49986982098183902</v>
      </c>
    </row>
    <row r="32" spans="1:36" ht="12.75" customHeight="1">
      <c r="B32" s="12" t="s">
        <v>48</v>
      </c>
      <c r="C32" s="39">
        <f>C17/C14</f>
        <v>4.2188522265953008</v>
      </c>
      <c r="D32" s="39">
        <f>D17/D14</f>
        <v>6.6721325521566426</v>
      </c>
      <c r="E32" s="39">
        <f>E17/E14</f>
        <v>11.776238612395343</v>
      </c>
      <c r="F32" s="39">
        <f>F17/F14</f>
        <v>26.615496889697347</v>
      </c>
      <c r="G32" s="39"/>
      <c r="H32" s="40">
        <f>H17/H14</f>
        <v>3.3861849951734504</v>
      </c>
      <c r="I32" s="40">
        <f>I17/I14</f>
        <v>5.3637182818633802</v>
      </c>
      <c r="J32" s="40">
        <f>J17/J14</f>
        <v>9.3144849745066089</v>
      </c>
      <c r="K32" s="40">
        <f>K17/K14</f>
        <v>19.673253270219398</v>
      </c>
      <c r="L32" s="39"/>
      <c r="M32" s="39">
        <f>M17/M14</f>
        <v>2.5976531460431045</v>
      </c>
      <c r="N32" s="39">
        <f>N17/N14</f>
        <v>4.0042809917960822</v>
      </c>
      <c r="O32" s="39">
        <f>O17/O14</f>
        <v>6.6108338149596548</v>
      </c>
      <c r="P32" s="39">
        <f>P17/P14</f>
        <v>12.656689141328696</v>
      </c>
      <c r="Q32" s="39"/>
      <c r="R32" s="40">
        <f>R17/R14</f>
        <v>2.0524535567187536</v>
      </c>
      <c r="S32" s="40">
        <f>S17/S14</f>
        <v>3.0911815435883021</v>
      </c>
      <c r="T32" s="40">
        <f>T17/T14</f>
        <v>4.9072152708092851</v>
      </c>
      <c r="U32" s="40">
        <f>U17/U14</f>
        <v>8.7661039894851829</v>
      </c>
      <c r="V32" s="39"/>
      <c r="W32" s="39">
        <f>W17/W14</f>
        <v>1.6873978811710184</v>
      </c>
      <c r="X32" s="39">
        <f>X17/X14</f>
        <v>2.5020394233822318</v>
      </c>
      <c r="Y32" s="39">
        <f>Y17/Y14</f>
        <v>11.776238612395343</v>
      </c>
      <c r="Z32" s="39">
        <f>Z17/Z14</f>
        <v>6.5896973642738876</v>
      </c>
      <c r="AA32" s="39"/>
      <c r="AB32" s="40">
        <f>AB17/AB14</f>
        <v>1.4461524641315866</v>
      </c>
      <c r="AC32" s="40">
        <f>AC17/AC14</f>
        <v>2.1171853770357472</v>
      </c>
      <c r="AD32" s="40">
        <f>AD17/AD14</f>
        <v>3.2166675328199745</v>
      </c>
      <c r="AE32" s="40">
        <f>AE17/AE14</f>
        <v>5.3524570979730113</v>
      </c>
      <c r="AF32" s="39"/>
      <c r="AG32" s="39">
        <f>AG17/AG14</f>
        <v>1.3036319779375856</v>
      </c>
      <c r="AH32" s="39">
        <f>AH17/AH14</f>
        <v>1.8852262248364209</v>
      </c>
      <c r="AI32" s="39">
        <f>AI17/AI14</f>
        <v>2.8451369279358132</v>
      </c>
      <c r="AJ32" s="39">
        <f>AJ17/AJ14</f>
        <v>4.7633982080040385</v>
      </c>
    </row>
    <row r="33" ht="12.75" customHeight="1"/>
    <row r="34" ht="12.75" customHeight="1"/>
    <row r="35" ht="12.75" customHeight="1"/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38"/>
  <sheetViews>
    <sheetView topLeftCell="A35" zoomScale="83" zoomScaleNormal="83" workbookViewId="0">
      <selection activeCell="C54" sqref="C54"/>
    </sheetView>
  </sheetViews>
  <sheetFormatPr defaultColWidth="11.54296875" defaultRowHeight="12.5"/>
  <cols>
    <col min="1" max="1" width="6.54296875" customWidth="1"/>
    <col min="2" max="2" width="30.7265625" customWidth="1"/>
    <col min="3" max="6" width="12.7265625" customWidth="1"/>
    <col min="7" max="7" width="2" customWidth="1"/>
    <col min="8" max="11" width="12.7265625" customWidth="1"/>
    <col min="12" max="12" width="2" customWidth="1"/>
    <col min="13" max="16" width="12.7265625" customWidth="1"/>
    <col min="17" max="17" width="2" customWidth="1"/>
    <col min="18" max="21" width="12.7265625" customWidth="1"/>
    <col min="22" max="22" width="2" customWidth="1"/>
    <col min="23" max="26" width="12.7265625" customWidth="1"/>
    <col min="27" max="27" width="2" customWidth="1"/>
    <col min="28" max="31" width="12.7265625" customWidth="1"/>
    <col min="32" max="32" width="2" customWidth="1"/>
    <col min="33" max="36" width="12.7265625" customWidth="1"/>
  </cols>
  <sheetData>
    <row r="1" spans="1:36" ht="12.75" customHeight="1"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36" ht="12.75" customHeight="1">
      <c r="A2" s="11"/>
      <c r="B2" s="12" t="s">
        <v>49</v>
      </c>
      <c r="C2" s="2" t="s">
        <v>6</v>
      </c>
      <c r="D2" s="2" t="s">
        <v>6</v>
      </c>
      <c r="E2" s="2" t="s">
        <v>6</v>
      </c>
      <c r="F2" s="2" t="s">
        <v>6</v>
      </c>
      <c r="G2" s="42"/>
      <c r="H2" s="2" t="s">
        <v>50</v>
      </c>
      <c r="I2" s="2" t="s">
        <v>50</v>
      </c>
      <c r="J2" s="2" t="s">
        <v>50</v>
      </c>
      <c r="K2" s="2" t="s">
        <v>50</v>
      </c>
      <c r="L2" s="5"/>
      <c r="M2" s="2" t="s">
        <v>8</v>
      </c>
      <c r="N2" s="2" t="s">
        <v>8</v>
      </c>
      <c r="O2" s="2" t="s">
        <v>8</v>
      </c>
      <c r="P2" s="2" t="s">
        <v>8</v>
      </c>
      <c r="Q2" s="41"/>
      <c r="R2" s="2" t="s">
        <v>9</v>
      </c>
      <c r="S2" s="2" t="s">
        <v>9</v>
      </c>
      <c r="T2" s="2" t="s">
        <v>9</v>
      </c>
      <c r="U2" s="2" t="s">
        <v>9</v>
      </c>
      <c r="V2" s="41"/>
      <c r="W2" s="2" t="s">
        <v>10</v>
      </c>
      <c r="X2" s="2" t="s">
        <v>10</v>
      </c>
      <c r="Y2" s="2" t="s">
        <v>10</v>
      </c>
      <c r="Z2" s="2" t="s">
        <v>10</v>
      </c>
      <c r="AB2" s="2" t="s">
        <v>11</v>
      </c>
      <c r="AC2" s="2" t="s">
        <v>11</v>
      </c>
      <c r="AD2" s="2" t="s">
        <v>11</v>
      </c>
      <c r="AE2" s="2" t="s">
        <v>11</v>
      </c>
      <c r="AG2" s="2" t="s">
        <v>12</v>
      </c>
      <c r="AH2" s="2" t="s">
        <v>12</v>
      </c>
      <c r="AI2" s="2" t="s">
        <v>12</v>
      </c>
      <c r="AJ2" s="2" t="s">
        <v>12</v>
      </c>
    </row>
    <row r="3" spans="1:36" ht="12.75" customHeight="1">
      <c r="A3" s="14" t="s">
        <v>40</v>
      </c>
      <c r="B3" s="12" t="s">
        <v>51</v>
      </c>
      <c r="C3">
        <v>506625</v>
      </c>
      <c r="D3">
        <v>506625</v>
      </c>
      <c r="E3">
        <v>506625</v>
      </c>
      <c r="F3">
        <v>506625</v>
      </c>
      <c r="H3">
        <v>506625</v>
      </c>
      <c r="I3">
        <v>506625</v>
      </c>
      <c r="J3">
        <v>506625</v>
      </c>
      <c r="K3">
        <v>506625</v>
      </c>
      <c r="M3">
        <v>506625</v>
      </c>
      <c r="N3">
        <v>506625</v>
      </c>
      <c r="O3">
        <v>506625</v>
      </c>
      <c r="P3">
        <v>506625</v>
      </c>
      <c r="R3">
        <v>506625</v>
      </c>
      <c r="S3">
        <v>506625</v>
      </c>
      <c r="T3">
        <v>506625</v>
      </c>
      <c r="U3">
        <v>506625</v>
      </c>
      <c r="W3">
        <v>506625</v>
      </c>
      <c r="X3">
        <v>506625</v>
      </c>
      <c r="Y3">
        <v>506625</v>
      </c>
      <c r="Z3">
        <v>506625</v>
      </c>
      <c r="AB3">
        <v>506625</v>
      </c>
      <c r="AC3">
        <v>506625</v>
      </c>
      <c r="AD3">
        <v>506625</v>
      </c>
      <c r="AE3">
        <v>506625</v>
      </c>
      <c r="AG3">
        <v>506625</v>
      </c>
      <c r="AH3">
        <v>506625</v>
      </c>
      <c r="AI3">
        <v>506625</v>
      </c>
      <c r="AJ3">
        <v>506625</v>
      </c>
    </row>
    <row r="4" spans="1:36" ht="12.75" customHeight="1">
      <c r="A4" s="14" t="s">
        <v>52</v>
      </c>
      <c r="B4" s="12" t="s">
        <v>53</v>
      </c>
      <c r="C4">
        <v>0.01</v>
      </c>
      <c r="D4">
        <v>0.01</v>
      </c>
      <c r="E4">
        <v>0.01</v>
      </c>
      <c r="F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  <c r="AC4">
        <v>0.01</v>
      </c>
      <c r="AD4">
        <v>0.01</v>
      </c>
      <c r="AE4">
        <v>0.01</v>
      </c>
      <c r="AG4">
        <v>0.01</v>
      </c>
      <c r="AH4">
        <v>0.01</v>
      </c>
      <c r="AI4">
        <v>0.01</v>
      </c>
      <c r="AJ4">
        <v>0.01</v>
      </c>
    </row>
    <row r="5" spans="1:36" ht="12.75" customHeight="1">
      <c r="A5" s="14" t="s">
        <v>52</v>
      </c>
    </row>
    <row r="6" spans="1:36" ht="12.75" customHeight="1">
      <c r="A6" s="14" t="s">
        <v>34</v>
      </c>
      <c r="B6" s="25" t="s">
        <v>54</v>
      </c>
    </row>
    <row r="7" spans="1:36" ht="12.75" customHeight="1">
      <c r="A7" s="14"/>
      <c r="B7" s="12" t="s">
        <v>21</v>
      </c>
      <c r="C7">
        <v>1</v>
      </c>
      <c r="D7">
        <v>1</v>
      </c>
      <c r="E7">
        <v>1</v>
      </c>
      <c r="F7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  <c r="AC7">
        <v>1</v>
      </c>
      <c r="AD7">
        <v>1</v>
      </c>
      <c r="AE7">
        <v>1</v>
      </c>
      <c r="AG7">
        <v>1</v>
      </c>
      <c r="AH7">
        <v>1</v>
      </c>
      <c r="AI7">
        <v>1</v>
      </c>
      <c r="AJ7">
        <v>1</v>
      </c>
    </row>
    <row r="8" spans="1:36" ht="12.75" customHeight="1">
      <c r="A8" s="26" t="s">
        <v>55</v>
      </c>
      <c r="B8" s="12" t="s">
        <v>22</v>
      </c>
      <c r="C8">
        <f>C7/(1+C7)</f>
        <v>0.5</v>
      </c>
      <c r="D8">
        <v>0.6</v>
      </c>
      <c r="E8">
        <v>0.7</v>
      </c>
      <c r="F8">
        <v>0.8</v>
      </c>
      <c r="H8">
        <f>H7/(1+H7)</f>
        <v>0.5</v>
      </c>
      <c r="I8">
        <v>0.6</v>
      </c>
      <c r="J8">
        <v>0.7</v>
      </c>
      <c r="K8">
        <v>0.8</v>
      </c>
      <c r="M8">
        <f>M7/(1+M7)</f>
        <v>0.5</v>
      </c>
      <c r="N8">
        <v>0.6</v>
      </c>
      <c r="O8">
        <v>0.7</v>
      </c>
      <c r="P8">
        <v>0.8</v>
      </c>
      <c r="R8">
        <f>R7/(1+R7)</f>
        <v>0.5</v>
      </c>
      <c r="S8">
        <v>0.6</v>
      </c>
      <c r="T8">
        <v>0.7</v>
      </c>
      <c r="U8">
        <v>0.8</v>
      </c>
      <c r="W8">
        <f>W7/(1+W7)</f>
        <v>0.5</v>
      </c>
      <c r="X8">
        <v>0.6</v>
      </c>
      <c r="Y8">
        <v>0.7</v>
      </c>
      <c r="Z8">
        <v>0.8</v>
      </c>
      <c r="AB8">
        <f>AB7/(1+AB7)</f>
        <v>0.5</v>
      </c>
      <c r="AC8">
        <v>0.6</v>
      </c>
      <c r="AD8">
        <v>0.7</v>
      </c>
      <c r="AE8">
        <v>0.8</v>
      </c>
      <c r="AG8">
        <f>AG7/(1+AG7)</f>
        <v>0.5</v>
      </c>
      <c r="AH8">
        <v>0.6</v>
      </c>
      <c r="AI8">
        <v>0.7</v>
      </c>
      <c r="AJ8">
        <v>0.8</v>
      </c>
    </row>
    <row r="9" spans="1:36" ht="12.75" customHeight="1">
      <c r="A9" s="16"/>
      <c r="B9" s="12" t="s">
        <v>23</v>
      </c>
      <c r="C9">
        <f>1/(1+C7)</f>
        <v>0.5</v>
      </c>
      <c r="D9">
        <v>0.4</v>
      </c>
      <c r="E9">
        <v>0.3</v>
      </c>
      <c r="F9">
        <v>0.2</v>
      </c>
      <c r="H9">
        <f>1/(1+H7)</f>
        <v>0.5</v>
      </c>
      <c r="I9">
        <v>0.4</v>
      </c>
      <c r="J9">
        <v>0.3</v>
      </c>
      <c r="K9">
        <v>0.2</v>
      </c>
      <c r="M9">
        <f>1/(1+M7)</f>
        <v>0.5</v>
      </c>
      <c r="N9">
        <v>0.4</v>
      </c>
      <c r="O9">
        <v>0.3</v>
      </c>
      <c r="P9">
        <v>0.2</v>
      </c>
      <c r="R9">
        <f>1/(1+R7)</f>
        <v>0.5</v>
      </c>
      <c r="S9">
        <v>0.4</v>
      </c>
      <c r="T9">
        <v>0.3</v>
      </c>
      <c r="U9">
        <v>0.2</v>
      </c>
      <c r="W9">
        <f>1/(1+W7)</f>
        <v>0.5</v>
      </c>
      <c r="X9">
        <v>0.4</v>
      </c>
      <c r="Y9">
        <v>0.3</v>
      </c>
      <c r="Z9">
        <v>0.2</v>
      </c>
      <c r="AB9">
        <f>1/(1+AB7)</f>
        <v>0.5</v>
      </c>
      <c r="AC9">
        <v>0.4</v>
      </c>
      <c r="AD9">
        <v>0.3</v>
      </c>
      <c r="AE9">
        <v>0.2</v>
      </c>
      <c r="AG9">
        <f>1/(1+AG7)</f>
        <v>0.5</v>
      </c>
      <c r="AH9">
        <v>0.4</v>
      </c>
      <c r="AI9">
        <v>0.3</v>
      </c>
      <c r="AJ9">
        <v>0.2</v>
      </c>
    </row>
    <row r="10" spans="1:36" ht="12.75" customHeight="1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R10" s="5"/>
      <c r="S10" s="5"/>
      <c r="T10" s="5"/>
      <c r="U10" s="5"/>
      <c r="W10" s="5"/>
      <c r="X10" s="5"/>
      <c r="Y10" s="5"/>
      <c r="Z10" s="5"/>
      <c r="AB10" s="5"/>
      <c r="AC10" s="5"/>
      <c r="AD10" s="5"/>
      <c r="AE10" s="5"/>
      <c r="AG10" s="5"/>
      <c r="AH10" s="5"/>
      <c r="AI10" s="5"/>
      <c r="AJ10" s="5"/>
    </row>
    <row r="11" spans="1:36" ht="12.75" customHeight="1">
      <c r="A11" s="27"/>
      <c r="B11" s="25" t="s">
        <v>56</v>
      </c>
      <c r="C11" s="2"/>
      <c r="D11" s="2"/>
      <c r="E11" s="2"/>
      <c r="F11" s="2"/>
      <c r="G11" s="5"/>
      <c r="H11" s="2"/>
      <c r="I11" s="2"/>
      <c r="J11" s="2"/>
      <c r="K11" s="2"/>
      <c r="L11" s="5"/>
      <c r="M11" s="2"/>
      <c r="N11" s="2"/>
      <c r="O11" s="2"/>
      <c r="P11" s="2"/>
      <c r="R11" s="2"/>
      <c r="S11" s="2"/>
      <c r="T11" s="2"/>
      <c r="U11" s="2"/>
      <c r="W11" s="2"/>
      <c r="X11" s="2"/>
      <c r="Y11" s="2"/>
      <c r="Z11" s="2"/>
      <c r="AB11" s="2"/>
      <c r="AC11" s="2"/>
      <c r="AD11" s="2"/>
      <c r="AE11" s="2"/>
      <c r="AG11" s="2"/>
      <c r="AH11" s="2"/>
      <c r="AI11" s="2"/>
      <c r="AJ11" s="2"/>
    </row>
    <row r="12" spans="1:36" ht="12.75" customHeight="1">
      <c r="A12" s="14" t="s">
        <v>27</v>
      </c>
      <c r="B12" s="12" t="s">
        <v>26</v>
      </c>
      <c r="C12" s="9">
        <v>2.7179400999999999E-3</v>
      </c>
      <c r="D12" s="9">
        <v>3.4390166999999998E-3</v>
      </c>
      <c r="E12" s="9">
        <v>4.1607101000000002E-3</v>
      </c>
      <c r="F12" s="9">
        <v>4.8309868000000001E-3</v>
      </c>
      <c r="G12" s="31"/>
      <c r="H12" s="9">
        <v>1.8645337000000001E-3</v>
      </c>
      <c r="I12" s="9">
        <v>2.3809361999999998E-3</v>
      </c>
      <c r="J12" s="9">
        <v>2.8728094000000002E-3</v>
      </c>
      <c r="K12" s="9">
        <v>3.2712267000000001E-3</v>
      </c>
      <c r="L12" s="31"/>
      <c r="M12" s="9">
        <v>1.164953E-3</v>
      </c>
      <c r="N12" s="9">
        <v>1.5261203000000001E-3</v>
      </c>
      <c r="O12" s="9">
        <v>1.8662424000000001E-3</v>
      </c>
      <c r="P12" s="9">
        <v>2.1355383999999999E-3</v>
      </c>
      <c r="Q12" s="30"/>
      <c r="R12" s="9">
        <v>6.6570308999999999E-4</v>
      </c>
      <c r="S12" s="9">
        <v>9.0347525000000002E-4</v>
      </c>
      <c r="T12" s="9">
        <v>1.1320809E-3</v>
      </c>
      <c r="U12" s="9">
        <v>1.3226468999999999E-3</v>
      </c>
      <c r="V12" s="30"/>
      <c r="W12" s="9">
        <v>3.5941981E-4</v>
      </c>
      <c r="X12" s="9">
        <v>5.1042209999999999E-4</v>
      </c>
      <c r="Y12" s="9">
        <v>6.6222161E-4</v>
      </c>
      <c r="Z12" s="9">
        <v>7.9913365000000005E-4</v>
      </c>
      <c r="AA12" s="30"/>
      <c r="AB12" s="9">
        <v>1.8898094000000001E-4</v>
      </c>
      <c r="AC12" s="9">
        <v>2.8319378000000002E-4</v>
      </c>
      <c r="AD12" s="31"/>
      <c r="AE12" s="31"/>
      <c r="AF12" s="30"/>
      <c r="AG12" s="31"/>
      <c r="AH12" s="31"/>
      <c r="AI12" s="31"/>
      <c r="AJ12" s="31"/>
    </row>
    <row r="13" spans="1:36" ht="12.75" customHeight="1">
      <c r="A13" s="14" t="s">
        <v>30</v>
      </c>
      <c r="B13" s="12" t="s">
        <v>28</v>
      </c>
      <c r="C13" s="9">
        <v>3.3505572000000002E-3</v>
      </c>
      <c r="D13" s="9">
        <v>2.3430429999999999E-3</v>
      </c>
      <c r="E13" s="9">
        <v>1.4001464E-3</v>
      </c>
      <c r="F13" s="9">
        <v>5.6977427999999996E-4</v>
      </c>
      <c r="G13" s="31"/>
      <c r="H13" s="9">
        <v>2.8960407000000001E-3</v>
      </c>
      <c r="I13" s="9">
        <v>1.9159856E-3</v>
      </c>
      <c r="J13" s="9">
        <v>1.0404176000000001E-3</v>
      </c>
      <c r="K13" s="9">
        <v>3.5613759E-4</v>
      </c>
      <c r="L13" s="31"/>
      <c r="M13" s="9">
        <v>2.5366070000000002E-3</v>
      </c>
      <c r="N13" s="9">
        <v>1.6393092999999999E-3</v>
      </c>
      <c r="O13" s="9">
        <v>8.7584486999999996E-4</v>
      </c>
      <c r="P13" s="9">
        <v>3.1441492000000001E-4</v>
      </c>
      <c r="Q13" s="30"/>
      <c r="R13" s="9">
        <v>2.2291261000000001E-3</v>
      </c>
      <c r="S13" s="9">
        <v>1.4280124999999999E-3</v>
      </c>
      <c r="T13" s="9">
        <v>7.7266024999999997E-4</v>
      </c>
      <c r="U13" s="9">
        <v>3.0062318000000001E-4</v>
      </c>
      <c r="V13" s="30"/>
      <c r="W13" s="9">
        <v>1.9432787999999999E-3</v>
      </c>
      <c r="X13" s="9">
        <v>1.2369142000000001E-3</v>
      </c>
      <c r="Y13" s="9">
        <v>6.7915664000000003E-4</v>
      </c>
      <c r="Z13" s="9">
        <v>2.8161467E-4</v>
      </c>
      <c r="AA13" s="30"/>
      <c r="AB13" s="9">
        <v>1.6677844E-3</v>
      </c>
      <c r="AC13" s="9">
        <v>1.0474315000000001E-3</v>
      </c>
      <c r="AD13" s="31"/>
      <c r="AE13" s="31"/>
      <c r="AF13" s="30"/>
      <c r="AG13" s="31"/>
      <c r="AH13" s="31"/>
      <c r="AI13" s="31"/>
      <c r="AJ13" s="31"/>
    </row>
    <row r="14" spans="1:36" ht="12.75" customHeight="1">
      <c r="A14" s="14" t="s">
        <v>32</v>
      </c>
      <c r="B14" s="12" t="s">
        <v>31</v>
      </c>
      <c r="C14" s="9">
        <v>6.6557716E-4</v>
      </c>
      <c r="D14" s="9">
        <v>5.3531244999999996E-4</v>
      </c>
      <c r="E14" s="9">
        <v>3.8606270999999999E-4</v>
      </c>
      <c r="F14" s="9">
        <v>2.1502447000000001E-4</v>
      </c>
      <c r="G14" s="31"/>
      <c r="H14" s="9">
        <v>1.0515984000000001E-3</v>
      </c>
      <c r="I14" s="9">
        <v>8.1901244999999998E-4</v>
      </c>
      <c r="J14" s="9">
        <v>5.5751328999999997E-4</v>
      </c>
      <c r="K14" s="9">
        <v>2.8134151000000002E-4</v>
      </c>
      <c r="L14" s="31"/>
      <c r="M14" s="9">
        <v>1.5989865999999999E-3</v>
      </c>
      <c r="N14" s="9">
        <v>1.2494355000000001E-3</v>
      </c>
      <c r="O14" s="9">
        <v>8.5921754999999998E-4</v>
      </c>
      <c r="P14" s="9">
        <v>4.6043248000000002E-4</v>
      </c>
      <c r="Q14" s="30"/>
      <c r="R14" s="9">
        <v>2.2923518E-3</v>
      </c>
      <c r="S14" s="9">
        <v>1.8213910999999999E-3</v>
      </c>
      <c r="T14" s="9">
        <v>1.2924786000000001E-3</v>
      </c>
      <c r="U14" s="9">
        <v>7.4957799000000002E-4</v>
      </c>
      <c r="V14" s="30"/>
      <c r="W14" s="9">
        <v>3.0884094E-3</v>
      </c>
      <c r="X14" s="9">
        <v>2.5078940000000001E-3</v>
      </c>
      <c r="Y14" s="9">
        <v>1.8425030999999999E-3</v>
      </c>
      <c r="Z14" s="9">
        <v>1.1434016E-3</v>
      </c>
      <c r="AA14" s="30"/>
      <c r="AB14" s="9">
        <v>3.9183543999999999E-3</v>
      </c>
      <c r="AC14" s="9">
        <v>3.249306E-3</v>
      </c>
      <c r="AD14" s="31"/>
      <c r="AE14" s="31"/>
      <c r="AF14" s="30"/>
      <c r="AG14" s="31"/>
      <c r="AH14" s="31"/>
      <c r="AI14" s="31"/>
      <c r="AJ14" s="31"/>
    </row>
    <row r="15" spans="1:36" ht="12.75" customHeight="1">
      <c r="A15" s="14" t="s">
        <v>34</v>
      </c>
      <c r="B15" s="12" t="s">
        <v>33</v>
      </c>
      <c r="C15" s="9">
        <v>2.6333086999999998E-3</v>
      </c>
      <c r="D15" s="9">
        <v>2.7786018000000002E-3</v>
      </c>
      <c r="E15" s="9">
        <v>2.8136446999999999E-3</v>
      </c>
      <c r="F15" s="9">
        <v>2.6454272000000002E-3</v>
      </c>
      <c r="G15" s="31"/>
      <c r="H15" s="9">
        <v>3.1563202999999999E-3</v>
      </c>
      <c r="I15" s="9">
        <v>3.3490166E-3</v>
      </c>
      <c r="J15" s="9">
        <v>3.3616517E-3</v>
      </c>
      <c r="K15" s="9">
        <v>3.0063834999999998E-3</v>
      </c>
      <c r="L15" s="31"/>
      <c r="M15" s="9">
        <v>3.3277997E-3</v>
      </c>
      <c r="N15" s="9">
        <v>3.4719462000000001E-3</v>
      </c>
      <c r="O15" s="9">
        <v>3.3890929000000001E-3</v>
      </c>
      <c r="P15" s="9">
        <v>2.9107378999999999E-3</v>
      </c>
      <c r="Q15" s="30"/>
      <c r="R15" s="9">
        <v>3.2493961999999999E-3</v>
      </c>
      <c r="S15" s="9">
        <v>3.3225841E-3</v>
      </c>
      <c r="T15" s="9">
        <v>3.1622010999999999E-3</v>
      </c>
      <c r="U15" s="9">
        <v>2.6491758E-3</v>
      </c>
      <c r="V15" s="30"/>
      <c r="W15" s="9">
        <v>3.0250330999999999E-3</v>
      </c>
      <c r="X15" s="9">
        <v>3.0182778E-3</v>
      </c>
      <c r="Y15" s="9">
        <v>2.7991838000000001E-3</v>
      </c>
      <c r="Z15" s="9">
        <v>2.2933693000000001E-3</v>
      </c>
      <c r="AA15" s="30"/>
      <c r="AB15" s="9">
        <v>2.7460771E-3</v>
      </c>
      <c r="AC15" s="9">
        <v>2.6558312000000001E-3</v>
      </c>
      <c r="AD15" s="31"/>
      <c r="AE15" s="31"/>
      <c r="AF15" s="30"/>
      <c r="AG15" s="31"/>
      <c r="AH15" s="31"/>
      <c r="AI15" s="31"/>
      <c r="AJ15" s="31"/>
    </row>
    <row r="16" spans="1:36" ht="12.75" customHeight="1">
      <c r="A16" s="22"/>
      <c r="B16" s="12" t="s">
        <v>35</v>
      </c>
      <c r="C16" s="9">
        <v>3.2659257000000001E-3</v>
      </c>
      <c r="D16" s="9">
        <v>3.6826280999999999E-3</v>
      </c>
      <c r="E16" s="9">
        <v>4.053081E-3</v>
      </c>
      <c r="F16" s="9">
        <v>4.3842146000000002E-3</v>
      </c>
      <c r="G16" s="31"/>
      <c r="H16" s="9">
        <v>4.1878274E-3</v>
      </c>
      <c r="I16" s="9">
        <v>4.8840660000000003E-3</v>
      </c>
      <c r="J16" s="9">
        <v>5.5292598999999998E-3</v>
      </c>
      <c r="K16" s="9">
        <v>6.0912943999999998E-3</v>
      </c>
      <c r="L16" s="31"/>
      <c r="M16" s="9">
        <v>4.6994536000000003E-3</v>
      </c>
      <c r="N16" s="9">
        <v>5.5851351000000002E-3</v>
      </c>
      <c r="O16" s="9">
        <v>6.3986954000000004E-3</v>
      </c>
      <c r="P16" s="9">
        <v>7.0896144000000003E-3</v>
      </c>
      <c r="Q16" s="30"/>
      <c r="R16" s="9">
        <v>4.8128192000000004E-3</v>
      </c>
      <c r="S16" s="9">
        <v>5.8471214000000004E-3</v>
      </c>
      <c r="T16" s="9">
        <v>6.8027805000000002E-3</v>
      </c>
      <c r="U16" s="9">
        <v>7.6271522E-3</v>
      </c>
      <c r="V16" s="30"/>
      <c r="W16" s="9">
        <v>4.6088921000000003E-3</v>
      </c>
      <c r="X16" s="9">
        <v>5.7447699000000001E-3</v>
      </c>
      <c r="Y16" s="9">
        <v>6.8161187999999998E-3</v>
      </c>
      <c r="Z16" s="9">
        <v>7.7758502999999996E-3</v>
      </c>
      <c r="AA16" s="30"/>
      <c r="AB16" s="9">
        <v>4.2248805E-3</v>
      </c>
      <c r="AC16" s="9">
        <v>5.4200689E-3</v>
      </c>
      <c r="AD16" s="31"/>
      <c r="AE16" s="31"/>
      <c r="AF16" s="30"/>
      <c r="AG16" s="31"/>
      <c r="AH16" s="31"/>
      <c r="AI16" s="31"/>
      <c r="AJ16" s="31"/>
    </row>
    <row r="17" spans="1:36" ht="12.75" customHeight="1">
      <c r="A17" s="14"/>
      <c r="B17" s="12" t="s">
        <v>36</v>
      </c>
      <c r="C17" s="9">
        <v>1.9308113E-3</v>
      </c>
      <c r="D17" s="9">
        <v>2.343365E-3</v>
      </c>
      <c r="E17" s="9">
        <v>2.8649353E-3</v>
      </c>
      <c r="F17" s="9">
        <v>3.6925994000000001E-3</v>
      </c>
      <c r="G17" s="31"/>
      <c r="H17" s="9">
        <v>3.1146124999999998E-3</v>
      </c>
      <c r="I17" s="9">
        <v>3.8891110999999998E-3</v>
      </c>
      <c r="J17" s="9">
        <v>4.8927296000000004E-3</v>
      </c>
      <c r="K17" s="9">
        <v>6.4511632000000003E-3</v>
      </c>
      <c r="L17" s="31"/>
      <c r="M17" s="9">
        <v>4.3422944999999998E-3</v>
      </c>
      <c r="N17" s="9">
        <v>5.4758133999999997E-3</v>
      </c>
      <c r="O17" s="9">
        <v>6.8784225000000001E-3</v>
      </c>
      <c r="P17" s="9">
        <v>8.8181855000000007E-3</v>
      </c>
      <c r="Q17" s="30"/>
      <c r="R17" s="9">
        <v>5.4191978E-3</v>
      </c>
      <c r="S17" s="9">
        <v>6.8704656999999999E-3</v>
      </c>
      <c r="T17" s="9">
        <v>8.5736374000000004E-3</v>
      </c>
      <c r="U17" s="9">
        <v>1.0705531000000001E-2</v>
      </c>
      <c r="V17" s="30"/>
      <c r="W17" s="9">
        <v>6.2561275E-3</v>
      </c>
      <c r="X17" s="9">
        <v>7.9608782000000003E-3</v>
      </c>
      <c r="Y17" s="9">
        <v>9.8763732E-3</v>
      </c>
      <c r="Z17" s="9">
        <v>1.2108364E-2</v>
      </c>
      <c r="AA17" s="30"/>
      <c r="AB17" s="9">
        <v>6.8759611999999999E-3</v>
      </c>
      <c r="AC17" s="9">
        <v>8.7777814000000003E-3</v>
      </c>
      <c r="AD17" s="31"/>
      <c r="AE17" s="31"/>
      <c r="AF17" s="30"/>
      <c r="AG17" s="31"/>
      <c r="AH17" s="31"/>
      <c r="AI17" s="31"/>
      <c r="AJ17" s="31"/>
    </row>
    <row r="18" spans="1:36" ht="12.75" customHeight="1">
      <c r="A18" s="33" t="s">
        <v>57</v>
      </c>
      <c r="B18" s="34" t="s">
        <v>58</v>
      </c>
      <c r="C18" s="35">
        <f>SUM(C12:C17)</f>
        <v>1.4564120159999999E-2</v>
      </c>
      <c r="D18" s="35">
        <f>SUM(D12:D17)</f>
        <v>1.5121967050000001E-2</v>
      </c>
      <c r="E18" s="35">
        <f>SUM(E12:E17)</f>
        <v>1.5678580210000001E-2</v>
      </c>
      <c r="F18" s="35">
        <f>SUM(F12:F17)</f>
        <v>1.6338026750000002E-2</v>
      </c>
      <c r="G18" s="31"/>
      <c r="H18" s="35">
        <f>SUM(H12:H17)</f>
        <v>1.6270933000000001E-2</v>
      </c>
      <c r="I18" s="35">
        <f>SUM(I12:I17)</f>
        <v>1.7238127949999998E-2</v>
      </c>
      <c r="J18" s="35">
        <f>SUM(J12:J17)</f>
        <v>1.8254381489999999E-2</v>
      </c>
      <c r="K18" s="35">
        <f>SUM(K12:K17)</f>
        <v>1.9457546899999997E-2</v>
      </c>
      <c r="L18" s="31"/>
      <c r="M18" s="35">
        <f>SUM(M12:M17)</f>
        <v>1.7670094400000003E-2</v>
      </c>
      <c r="N18" s="35">
        <f>SUM(N12:N17)</f>
        <v>1.8947759799999998E-2</v>
      </c>
      <c r="O18" s="35">
        <f>SUM(O12:O17)</f>
        <v>2.0267515620000003E-2</v>
      </c>
      <c r="P18" s="35">
        <f>SUM(P12:P17)</f>
        <v>2.1728923599999998E-2</v>
      </c>
      <c r="Q18" s="30"/>
      <c r="R18" s="35">
        <f>SUM(R12:R17)</f>
        <v>1.8668594189999999E-2</v>
      </c>
      <c r="S18" s="35">
        <f>SUM(S12:S17)</f>
        <v>2.0193050050000001E-2</v>
      </c>
      <c r="T18" s="35">
        <f>SUM(T12:T17)</f>
        <v>2.173583875E-2</v>
      </c>
      <c r="U18" s="35">
        <f>SUM(U12:U17)</f>
        <v>2.3354707070000001E-2</v>
      </c>
      <c r="V18" s="30"/>
      <c r="W18" s="35">
        <f>SUM(W12:W17)</f>
        <v>1.9281160709999998E-2</v>
      </c>
      <c r="X18" s="35">
        <f>SUM(X12:X17)</f>
        <v>2.0979156200000001E-2</v>
      </c>
      <c r="Y18" s="35">
        <f>SUM(Y12:Y17)</f>
        <v>2.2675557149999997E-2</v>
      </c>
      <c r="Z18" s="35">
        <f>SUM(Z12:Z17)</f>
        <v>2.440173352E-2</v>
      </c>
      <c r="AA18" s="30"/>
      <c r="AB18" s="35">
        <f>SUM(AB12:AB17)</f>
        <v>1.9622038540000001E-2</v>
      </c>
      <c r="AC18" s="35">
        <f>SUM(AC12:AC17)</f>
        <v>2.143361278E-2</v>
      </c>
      <c r="AD18" s="35"/>
      <c r="AE18" s="35"/>
      <c r="AF18" s="30"/>
      <c r="AG18" s="35"/>
      <c r="AH18" s="35"/>
      <c r="AI18" s="35"/>
      <c r="AJ18" s="35"/>
    </row>
    <row r="19" spans="1:36" ht="12.75" customHeight="1">
      <c r="B19" s="18"/>
      <c r="C19" s="35"/>
      <c r="D19" s="35"/>
      <c r="E19" s="35"/>
      <c r="F19" s="35"/>
      <c r="G19" s="31"/>
      <c r="H19" s="35"/>
      <c r="I19" s="35"/>
      <c r="J19" s="35"/>
      <c r="K19" s="35"/>
      <c r="L19" s="31"/>
      <c r="M19" s="35"/>
      <c r="N19" s="35"/>
      <c r="O19" s="35"/>
      <c r="P19" s="35"/>
      <c r="Q19" s="30"/>
      <c r="R19" s="35"/>
      <c r="S19" s="35"/>
      <c r="T19" s="35"/>
      <c r="U19" s="35"/>
      <c r="V19" s="30"/>
      <c r="W19" s="35"/>
      <c r="X19" s="35"/>
      <c r="Y19" s="35"/>
      <c r="Z19" s="35"/>
      <c r="AA19" s="30"/>
      <c r="AB19" s="35"/>
      <c r="AC19" s="35"/>
      <c r="AD19" s="35"/>
      <c r="AE19" s="35"/>
      <c r="AF19" s="30"/>
      <c r="AG19" s="31"/>
      <c r="AH19" s="35"/>
      <c r="AI19" s="35"/>
      <c r="AJ19" s="35"/>
    </row>
    <row r="20" spans="1:36" ht="12.75" customHeight="1">
      <c r="A20" s="11" t="s">
        <v>27</v>
      </c>
      <c r="B20" t="s">
        <v>59</v>
      </c>
      <c r="C20" s="43">
        <v>7.22674E-7</v>
      </c>
      <c r="D20" s="10">
        <v>7.7995099999999997E-7</v>
      </c>
      <c r="E20" s="10">
        <v>8.1599800000000005E-7</v>
      </c>
      <c r="F20" s="10">
        <v>7.8705300000000003E-7</v>
      </c>
      <c r="G20" s="31"/>
      <c r="H20" s="43">
        <v>9.7369399999999993E-7</v>
      </c>
      <c r="I20" s="10">
        <v>1.10358E-6</v>
      </c>
      <c r="J20" s="10">
        <v>1.1620000000000001E-6</v>
      </c>
      <c r="K20" s="10">
        <v>1.0648200000000001E-6</v>
      </c>
      <c r="L20" s="31"/>
      <c r="M20" s="10">
        <v>1.46662E-6</v>
      </c>
      <c r="N20" s="10">
        <v>1.359E-6</v>
      </c>
      <c r="O20" s="10">
        <v>1.2202E-6</v>
      </c>
      <c r="P20" s="10">
        <v>1.02949E-6</v>
      </c>
      <c r="Q20" s="30"/>
      <c r="R20" s="10">
        <v>3.5163399999999999E-6</v>
      </c>
      <c r="S20" s="10">
        <v>3.4337400000000001E-6</v>
      </c>
      <c r="T20" s="10">
        <v>3.2147400000000002E-6</v>
      </c>
      <c r="U20" s="10">
        <v>2.6802199999999999E-6</v>
      </c>
      <c r="V20" s="30"/>
      <c r="W20" s="10">
        <v>3.6573000000000001E-6</v>
      </c>
      <c r="X20" s="10">
        <v>4.8822800000000001E-6</v>
      </c>
      <c r="Y20" s="10">
        <v>6.0558200000000002E-6</v>
      </c>
      <c r="Z20" s="10">
        <v>5.2805599999999996E-6</v>
      </c>
      <c r="AA20" s="30"/>
      <c r="AB20" s="10">
        <v>3.1482100000000001E-6</v>
      </c>
      <c r="AC20" s="10">
        <v>3.9849499999999999E-6</v>
      </c>
      <c r="AD20" s="31"/>
      <c r="AE20" s="31"/>
      <c r="AF20" s="30"/>
      <c r="AG20" s="31"/>
      <c r="AH20" s="31"/>
      <c r="AI20" s="31"/>
      <c r="AJ20" s="31"/>
    </row>
    <row r="21" spans="1:36" ht="12.75" customHeight="1">
      <c r="A21" s="14"/>
      <c r="B21" s="9" t="s">
        <v>38</v>
      </c>
      <c r="C21" s="30"/>
      <c r="D21" s="30"/>
      <c r="E21" s="30"/>
      <c r="F21" s="30"/>
      <c r="G21" s="31"/>
      <c r="H21" s="30"/>
      <c r="I21" s="30"/>
      <c r="J21" s="30"/>
      <c r="K21" s="30"/>
      <c r="L21" s="31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ht="12.75" customHeight="1">
      <c r="A22" s="14" t="s">
        <v>30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ht="12.75" customHeight="1">
      <c r="A23" s="14"/>
      <c r="B23" t="s">
        <v>60</v>
      </c>
      <c r="C23" s="43">
        <v>1.6494400000000001E-6</v>
      </c>
      <c r="D23" s="10">
        <v>1.6569599999999999E-6</v>
      </c>
      <c r="E23" s="10">
        <v>1.59985E-6</v>
      </c>
      <c r="F23" s="10">
        <v>1.4302300000000001E-6</v>
      </c>
      <c r="G23" s="30"/>
      <c r="H23" s="43">
        <v>2.1039599999999998E-6</v>
      </c>
      <c r="I23" s="10">
        <v>2.0840100000000001E-6</v>
      </c>
      <c r="J23" s="10">
        <v>1.9595800000000001E-6</v>
      </c>
      <c r="K23" s="10">
        <v>1.64386E-6</v>
      </c>
      <c r="L23" s="30"/>
      <c r="M23" s="10">
        <v>2.4633900000000001E-6</v>
      </c>
      <c r="N23" s="10">
        <v>2.3606899999999998E-6</v>
      </c>
      <c r="O23" s="10">
        <v>2.1241600000000001E-6</v>
      </c>
      <c r="P23" s="10">
        <v>1.6855899999999999E-6</v>
      </c>
      <c r="Q23" s="30"/>
      <c r="R23" s="10">
        <v>2.77087E-6</v>
      </c>
      <c r="S23" s="10">
        <v>2.5719899999999998E-6</v>
      </c>
      <c r="T23" s="10">
        <v>2.2273400000000001E-6</v>
      </c>
      <c r="U23" s="10">
        <v>1.6993800000000001E-6</v>
      </c>
      <c r="V23" s="30"/>
      <c r="W23" s="10">
        <v>3.05672E-6</v>
      </c>
      <c r="X23" s="10">
        <v>2.76309E-6</v>
      </c>
      <c r="Y23" s="10">
        <v>2.8195800000000002E-7</v>
      </c>
      <c r="Z23" s="10">
        <v>1.7183900000000001E-6</v>
      </c>
      <c r="AA23" s="30"/>
      <c r="AB23" s="10">
        <v>3.3322200000000002E-6</v>
      </c>
      <c r="AC23" s="10">
        <v>2.9525699999999999E-6</v>
      </c>
      <c r="AD23" s="31"/>
      <c r="AE23" s="31"/>
      <c r="AF23" s="30"/>
      <c r="AG23" s="31"/>
      <c r="AH23" s="31"/>
      <c r="AI23" s="31"/>
      <c r="AJ23" s="31"/>
    </row>
    <row r="24" spans="1:36" ht="12.75" customHeight="1">
      <c r="A24" s="14" t="s">
        <v>40</v>
      </c>
      <c r="B24" s="9" t="s">
        <v>41</v>
      </c>
      <c r="C24" s="44"/>
      <c r="D24" s="30"/>
      <c r="E24" s="30"/>
      <c r="F24" s="30"/>
      <c r="G24" s="30"/>
      <c r="H24" s="44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ht="12.75" customHeight="1">
      <c r="A25" s="14"/>
      <c r="C25" s="44"/>
      <c r="D25" s="30"/>
      <c r="E25" s="30"/>
      <c r="F25" s="30"/>
      <c r="G25" s="30"/>
      <c r="H25" s="44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ht="12.75" customHeight="1">
      <c r="A26" s="14"/>
      <c r="B26" t="s">
        <v>61</v>
      </c>
      <c r="C26" s="43">
        <v>1.55939E-6</v>
      </c>
      <c r="D26" s="10">
        <v>1.78103E-6</v>
      </c>
      <c r="E26" s="10">
        <v>2.0232899999999999E-6</v>
      </c>
      <c r="F26" s="10">
        <v>2.38196E-6</v>
      </c>
      <c r="G26" s="30"/>
      <c r="H26" s="43">
        <v>2.1617699999999998E-6</v>
      </c>
      <c r="I26" s="10">
        <v>2.5154800000000002E-6</v>
      </c>
      <c r="J26" s="10">
        <v>2.9651900000000002E-6</v>
      </c>
      <c r="K26" s="10">
        <v>3.6639600000000002E-6</v>
      </c>
      <c r="L26" s="30"/>
      <c r="M26" s="10">
        <v>2.36843E-6</v>
      </c>
      <c r="N26" s="10">
        <v>3.1148799999999999E-6</v>
      </c>
      <c r="O26" s="10">
        <v>3.9135599999999998E-6</v>
      </c>
      <c r="P26" s="10">
        <v>4.8349699999999999E-6</v>
      </c>
      <c r="Q26" s="30"/>
      <c r="R26" s="10">
        <v>8.1796100000000003E-7</v>
      </c>
      <c r="S26" s="10">
        <v>1.6627800000000001E-6</v>
      </c>
      <c r="T26" s="10">
        <v>2.6531699999999999E-6</v>
      </c>
      <c r="U26" s="10">
        <v>3.9971299999999998E-6</v>
      </c>
      <c r="V26" s="30"/>
      <c r="W26" s="10">
        <v>9.83278E-7</v>
      </c>
      <c r="X26" s="10">
        <v>6.0730200000000005E-7</v>
      </c>
      <c r="Y26" s="10">
        <v>2.3208400000000001E-6</v>
      </c>
      <c r="Z26" s="10">
        <v>1.9203000000000001E-6</v>
      </c>
      <c r="AA26" s="30"/>
      <c r="AB26" s="10">
        <v>1.6628100000000001E-6</v>
      </c>
      <c r="AC26" s="10">
        <v>1.7318600000000001E-6</v>
      </c>
      <c r="AD26" s="31"/>
      <c r="AE26" s="31"/>
      <c r="AF26" s="30"/>
      <c r="AG26" s="31"/>
      <c r="AH26" s="31"/>
      <c r="AI26" s="31"/>
      <c r="AJ26" s="31"/>
    </row>
    <row r="27" spans="1:36" ht="12.75" customHeight="1">
      <c r="A27" s="14" t="s">
        <v>43</v>
      </c>
      <c r="B27" s="9" t="s">
        <v>44</v>
      </c>
    </row>
    <row r="28" spans="1:36" ht="12.75" customHeight="1">
      <c r="A28" s="22"/>
    </row>
    <row r="29" spans="1:36" ht="12.75" customHeight="1">
      <c r="A29" s="14">
        <v>1</v>
      </c>
      <c r="B29" s="12" t="s">
        <v>45</v>
      </c>
      <c r="C29" s="9">
        <v>45.641199999999998</v>
      </c>
      <c r="D29" s="9">
        <v>42.683100000000003</v>
      </c>
      <c r="E29" s="9">
        <v>40.561300000000003</v>
      </c>
      <c r="F29" s="9">
        <v>39.612699999999997</v>
      </c>
      <c r="H29" s="9">
        <v>62.709299999999999</v>
      </c>
      <c r="I29" s="9">
        <v>60.317700000000002</v>
      </c>
      <c r="J29" s="9">
        <v>58.959899999999998</v>
      </c>
      <c r="K29" s="9">
        <v>59.109699999999997</v>
      </c>
      <c r="M29" s="9">
        <v>76.700900000000004</v>
      </c>
      <c r="N29" s="9">
        <v>74.564700000000002</v>
      </c>
      <c r="O29" s="9">
        <v>73.339399999999998</v>
      </c>
      <c r="P29" s="9">
        <v>73.305800000000005</v>
      </c>
      <c r="R29" s="9">
        <v>86.685900000000004</v>
      </c>
      <c r="S29" s="9">
        <v>84.942099999999996</v>
      </c>
      <c r="T29" s="9">
        <v>83.827399999999997</v>
      </c>
      <c r="U29" s="9">
        <v>83.466899999999995</v>
      </c>
      <c r="W29" s="9">
        <v>92.811599999999999</v>
      </c>
      <c r="X29" s="9">
        <v>91.492999999999995</v>
      </c>
      <c r="Y29" s="9">
        <v>90.539699999999996</v>
      </c>
      <c r="Z29" s="9">
        <v>90.010800000000003</v>
      </c>
      <c r="AB29" s="9">
        <v>96.220399999999998</v>
      </c>
      <c r="AC29" s="9">
        <v>95.280100000000004</v>
      </c>
      <c r="AD29" s="9"/>
      <c r="AE29" s="9"/>
      <c r="AG29" s="9"/>
      <c r="AH29" s="9"/>
      <c r="AI29" s="9"/>
      <c r="AJ29" s="9"/>
    </row>
    <row r="30" spans="1:36" ht="12.75" customHeight="1">
      <c r="A30" s="23"/>
      <c r="B30" s="12" t="s">
        <v>46</v>
      </c>
      <c r="C30" s="9">
        <v>32.988900000000001</v>
      </c>
      <c r="D30" s="9">
        <v>41.423900000000003</v>
      </c>
      <c r="E30" s="9">
        <v>53.328499999999998</v>
      </c>
      <c r="F30" s="9">
        <v>71.511300000000006</v>
      </c>
      <c r="H30" s="9">
        <v>42.0792</v>
      </c>
      <c r="I30" s="9">
        <v>52.1004</v>
      </c>
      <c r="J30" s="9">
        <v>65.319400000000002</v>
      </c>
      <c r="K30" s="9">
        <v>82.193100000000001</v>
      </c>
      <c r="M30" s="9">
        <v>49.267899999999997</v>
      </c>
      <c r="N30" s="9">
        <v>59.017299999999999</v>
      </c>
      <c r="O30" s="9">
        <v>70.805199999999999</v>
      </c>
      <c r="P30" s="9">
        <v>84.279300000000006</v>
      </c>
      <c r="R30" s="9">
        <v>55.417499999999997</v>
      </c>
      <c r="S30" s="9">
        <v>64.299700000000001</v>
      </c>
      <c r="T30" s="9">
        <v>74.244699999999995</v>
      </c>
      <c r="U30" s="9">
        <v>84.968800000000002</v>
      </c>
      <c r="W30" s="9">
        <v>61.134399999999999</v>
      </c>
      <c r="X30" s="9">
        <v>69.077100000000002</v>
      </c>
      <c r="Y30" s="9">
        <v>77.361400000000003</v>
      </c>
      <c r="Z30" s="9">
        <v>85.919300000000007</v>
      </c>
      <c r="AB30" s="9">
        <v>66.644300000000001</v>
      </c>
      <c r="AC30" s="9">
        <v>73.8142</v>
      </c>
      <c r="AD30" s="9"/>
      <c r="AE30" s="9"/>
      <c r="AG30" s="9"/>
      <c r="AH30" s="9"/>
      <c r="AI30" s="9"/>
      <c r="AJ30" s="9"/>
    </row>
    <row r="31" spans="1:36" ht="12.75" customHeight="1">
      <c r="B31" s="12" t="s">
        <v>47</v>
      </c>
      <c r="C31" s="21">
        <f>C26/(C20+C26)</f>
        <v>0.68332439405730949</v>
      </c>
      <c r="D31" s="21">
        <f>D26/(D20+D26)</f>
        <v>0.69544834577062464</v>
      </c>
      <c r="E31" s="21">
        <f>E26/(E20+E26)</f>
        <v>0.71260470934966802</v>
      </c>
      <c r="F31" s="21">
        <f>F26/(F20+F26)</f>
        <v>0.75164096833935357</v>
      </c>
      <c r="G31" s="21"/>
      <c r="H31" s="21">
        <f>H26/(H20+H26)</f>
        <v>0.68945776446484475</v>
      </c>
      <c r="I31" s="21">
        <f>I26/(I20+I26)</f>
        <v>0.69506446425314861</v>
      </c>
      <c r="J31" s="21">
        <f>J26/(J20+J26)</f>
        <v>0.71845250642689096</v>
      </c>
      <c r="K31" s="21">
        <f>K26/(K20+K26)</f>
        <v>0.77482141271110105</v>
      </c>
      <c r="L31" s="21"/>
      <c r="M31" s="21">
        <f>M26/(M20+M26)</f>
        <v>0.61757473826938381</v>
      </c>
      <c r="N31" s="21">
        <f>N26/(N20+N26)</f>
        <v>0.69623682351784133</v>
      </c>
      <c r="O31" s="21">
        <f>O26/(O20+O26)</f>
        <v>0.76231845664775921</v>
      </c>
      <c r="P31" s="21">
        <f>P26/(P20+P26)</f>
        <v>0.82445272028456151</v>
      </c>
      <c r="Q31" s="21"/>
      <c r="R31" s="21">
        <f>R26/(R20+R26)</f>
        <v>0.18871808856837588</v>
      </c>
      <c r="S31" s="21">
        <f>S26/(S20+S26)</f>
        <v>0.32625791716700808</v>
      </c>
      <c r="T31" s="21">
        <f>T26/(T20+T26)</f>
        <v>0.45214906159092416</v>
      </c>
      <c r="U31" s="21">
        <f>U26/(U20+U26)</f>
        <v>0.59861022711105449</v>
      </c>
      <c r="V31" s="21"/>
      <c r="W31" s="21">
        <f>W26/(W20+W26)</f>
        <v>0.21188696752861388</v>
      </c>
      <c r="X31" s="21">
        <f>X26/(X20+X26)</f>
        <v>0.11062809518101743</v>
      </c>
      <c r="Y31" s="21">
        <f>Y26/(Y20+Y26)</f>
        <v>0.27706030804640508</v>
      </c>
      <c r="Z31" s="21">
        <f>Z26/(Z20+Z26)</f>
        <v>0.26667648030929642</v>
      </c>
      <c r="AA31" s="21"/>
      <c r="AB31" s="21">
        <f>AB26/(AB20+AB26)</f>
        <v>0.34562525202555799</v>
      </c>
      <c r="AC31" s="21">
        <f>AC26/(AC20+AC26)</f>
        <v>0.30294167551484136</v>
      </c>
      <c r="AD31" s="21"/>
      <c r="AE31" s="21"/>
      <c r="AF31" s="21"/>
      <c r="AG31" s="21"/>
      <c r="AH31" s="21"/>
      <c r="AI31" s="21"/>
      <c r="AJ31" s="21"/>
    </row>
    <row r="32" spans="1:36" ht="12.75" customHeight="1">
      <c r="B32" s="12" t="s">
        <v>48</v>
      </c>
      <c r="C32" s="21">
        <f>C17/C14</f>
        <v>2.9009578694076583</v>
      </c>
      <c r="D32" s="21">
        <f>D17/D14</f>
        <v>4.3775649155927541</v>
      </c>
      <c r="E32" s="21">
        <f>E17/E14</f>
        <v>7.4209065672258276</v>
      </c>
      <c r="F32" s="21">
        <f>F17/F14</f>
        <v>17.17292641158469</v>
      </c>
      <c r="G32" s="21"/>
      <c r="H32" s="21">
        <f>H17/H14</f>
        <v>2.9617889300706426</v>
      </c>
      <c r="I32" s="21">
        <f>I17/I14</f>
        <v>4.74853721698614</v>
      </c>
      <c r="J32" s="21">
        <f>J17/J14</f>
        <v>8.77598738498234</v>
      </c>
      <c r="K32" s="21">
        <f>K17/K14</f>
        <v>22.930008444185859</v>
      </c>
      <c r="L32" s="21"/>
      <c r="M32" s="21">
        <f>M17/M14</f>
        <v>2.7156540899091963</v>
      </c>
      <c r="N32" s="21">
        <f>N17/N14</f>
        <v>4.3826299156699156</v>
      </c>
      <c r="O32" s="21">
        <f>O17/O14</f>
        <v>8.0054492602019138</v>
      </c>
      <c r="P32" s="21">
        <f>P17/P14</f>
        <v>19.151962302920072</v>
      </c>
      <c r="Q32" s="21"/>
      <c r="R32" s="21">
        <f>R17/R14</f>
        <v>2.3640340893574887</v>
      </c>
      <c r="S32" s="21">
        <f>S17/S14</f>
        <v>3.7720979859844488</v>
      </c>
      <c r="T32" s="21">
        <f>T17/T14</f>
        <v>6.633484995418879</v>
      </c>
      <c r="U32" s="21">
        <f>U17/U14</f>
        <v>14.282077572741965</v>
      </c>
      <c r="V32" s="21"/>
      <c r="W32" s="21">
        <f>W17/W14</f>
        <v>2.0256794646461054</v>
      </c>
      <c r="X32" s="21">
        <f>X17/X14</f>
        <v>3.1743280218382437</v>
      </c>
      <c r="Y32" s="21">
        <f>Y17/Y14</f>
        <v>5.3603020803601362</v>
      </c>
      <c r="Z32" s="21">
        <f>Z17/Z14</f>
        <v>10.589773531889408</v>
      </c>
      <c r="AA32" s="21"/>
      <c r="AB32" s="21">
        <f>AB17/AB14</f>
        <v>1.7548083960960754</v>
      </c>
      <c r="AC32" s="21">
        <f>AC17/AC14</f>
        <v>2.7014326751620192</v>
      </c>
      <c r="AD32" s="21"/>
      <c r="AE32" s="21"/>
      <c r="AF32" s="21"/>
      <c r="AG32" s="21"/>
      <c r="AH32" s="21"/>
      <c r="AI32" s="21"/>
      <c r="AJ32" s="21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37"/>
  <sheetViews>
    <sheetView topLeftCell="V1" zoomScale="83" zoomScaleNormal="83" workbookViewId="0">
      <selection activeCell="AC11" sqref="AC11:AK36"/>
    </sheetView>
  </sheetViews>
  <sheetFormatPr defaultColWidth="11.54296875" defaultRowHeight="12.5"/>
  <cols>
    <col min="1" max="1" width="6.54296875" customWidth="1"/>
    <col min="2" max="2" width="30.7265625" customWidth="1"/>
    <col min="3" max="6" width="12.7265625" customWidth="1"/>
    <col min="7" max="7" width="2" customWidth="1"/>
    <col min="8" max="11" width="12.7265625" customWidth="1"/>
    <col min="12" max="12" width="2" customWidth="1"/>
    <col min="13" max="16" width="12.7265625" customWidth="1"/>
    <col min="17" max="17" width="2" customWidth="1"/>
    <col min="18" max="21" width="12.7265625" customWidth="1"/>
    <col min="22" max="22" width="2" customWidth="1"/>
    <col min="23" max="26" width="12.7265625" customWidth="1"/>
    <col min="27" max="27" width="2" customWidth="1"/>
    <col min="28" max="31" width="12.7265625" customWidth="1"/>
    <col min="32" max="32" width="2" customWidth="1"/>
    <col min="33" max="36" width="12.7265625" customWidth="1"/>
  </cols>
  <sheetData>
    <row r="1" spans="1:36" ht="12.75" customHeight="1"/>
    <row r="2" spans="1:36" ht="12.75" customHeight="1">
      <c r="A2" s="11"/>
      <c r="B2" s="12" t="s">
        <v>49</v>
      </c>
      <c r="C2" s="2" t="s">
        <v>6</v>
      </c>
      <c r="D2" s="2" t="s">
        <v>6</v>
      </c>
      <c r="E2" s="2" t="s">
        <v>6</v>
      </c>
      <c r="F2" s="2" t="s">
        <v>6</v>
      </c>
      <c r="G2" s="42"/>
      <c r="H2" s="2" t="s">
        <v>50</v>
      </c>
      <c r="I2" s="2" t="s">
        <v>50</v>
      </c>
      <c r="J2" s="2" t="s">
        <v>50</v>
      </c>
      <c r="K2" s="2" t="s">
        <v>50</v>
      </c>
      <c r="L2" s="42"/>
      <c r="M2" s="2" t="s">
        <v>8</v>
      </c>
      <c r="N2" s="2" t="s">
        <v>8</v>
      </c>
      <c r="O2" s="2" t="s">
        <v>8</v>
      </c>
      <c r="P2" s="2" t="s">
        <v>8</v>
      </c>
      <c r="Q2" s="41"/>
      <c r="R2" s="2" t="s">
        <v>9</v>
      </c>
      <c r="S2" s="2" t="s">
        <v>9</v>
      </c>
      <c r="T2" s="2" t="s">
        <v>9</v>
      </c>
      <c r="U2" s="2" t="s">
        <v>9</v>
      </c>
      <c r="V2" s="41"/>
      <c r="W2" s="2" t="s">
        <v>10</v>
      </c>
      <c r="X2" s="2" t="s">
        <v>10</v>
      </c>
      <c r="Y2" s="2" t="s">
        <v>10</v>
      </c>
      <c r="Z2" s="2" t="s">
        <v>10</v>
      </c>
      <c r="AA2" s="41"/>
      <c r="AB2" s="2" t="s">
        <v>11</v>
      </c>
      <c r="AC2" s="2" t="s">
        <v>11</v>
      </c>
      <c r="AD2" s="2" t="s">
        <v>11</v>
      </c>
      <c r="AE2" s="2" t="s">
        <v>11</v>
      </c>
      <c r="AF2" s="41"/>
      <c r="AG2" s="2" t="s">
        <v>12</v>
      </c>
      <c r="AH2" s="2" t="s">
        <v>12</v>
      </c>
      <c r="AI2" s="2" t="s">
        <v>12</v>
      </c>
      <c r="AJ2" s="2" t="s">
        <v>12</v>
      </c>
    </row>
    <row r="3" spans="1:36" ht="12.75" customHeight="1">
      <c r="A3" s="14" t="s">
        <v>40</v>
      </c>
      <c r="B3" s="12" t="s">
        <v>51</v>
      </c>
      <c r="C3">
        <v>1013250</v>
      </c>
      <c r="D3">
        <v>1013250</v>
      </c>
      <c r="E3">
        <v>1013250</v>
      </c>
      <c r="F3">
        <v>1013250</v>
      </c>
      <c r="H3">
        <v>1013250</v>
      </c>
      <c r="I3">
        <v>1013250</v>
      </c>
      <c r="J3">
        <v>1013250</v>
      </c>
      <c r="K3">
        <v>1013250</v>
      </c>
      <c r="M3">
        <v>1013250</v>
      </c>
      <c r="N3">
        <v>1013250</v>
      </c>
      <c r="O3">
        <v>1013250</v>
      </c>
      <c r="P3">
        <v>1013250</v>
      </c>
      <c r="R3">
        <v>1013250</v>
      </c>
      <c r="S3">
        <v>1013250</v>
      </c>
      <c r="T3">
        <v>1013250</v>
      </c>
      <c r="U3">
        <v>1013250</v>
      </c>
      <c r="W3">
        <v>1013250</v>
      </c>
      <c r="X3">
        <v>1013250</v>
      </c>
      <c r="Y3">
        <v>1013250</v>
      </c>
      <c r="Z3">
        <v>1013250</v>
      </c>
      <c r="AB3">
        <v>1013250</v>
      </c>
      <c r="AC3">
        <v>1013250</v>
      </c>
      <c r="AD3">
        <v>1013250</v>
      </c>
      <c r="AE3">
        <v>1013250</v>
      </c>
      <c r="AG3">
        <v>1013250</v>
      </c>
      <c r="AH3">
        <v>1013250</v>
      </c>
      <c r="AI3">
        <v>1013250</v>
      </c>
      <c r="AJ3">
        <v>1013250</v>
      </c>
    </row>
    <row r="4" spans="1:36" ht="12.75" customHeight="1">
      <c r="A4" s="14" t="s">
        <v>52</v>
      </c>
      <c r="B4" s="12" t="s">
        <v>53</v>
      </c>
      <c r="C4">
        <v>0.01</v>
      </c>
      <c r="D4">
        <v>0.01</v>
      </c>
      <c r="E4">
        <v>0.01</v>
      </c>
      <c r="F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  <c r="AC4">
        <v>0.01</v>
      </c>
      <c r="AD4">
        <v>0.01</v>
      </c>
      <c r="AE4">
        <v>0.01</v>
      </c>
      <c r="AG4">
        <v>0.01</v>
      </c>
      <c r="AH4">
        <v>0.01</v>
      </c>
      <c r="AI4">
        <v>0.01</v>
      </c>
      <c r="AJ4">
        <v>0.01</v>
      </c>
    </row>
    <row r="5" spans="1:36" ht="12.75" customHeight="1">
      <c r="A5" s="14" t="s">
        <v>52</v>
      </c>
    </row>
    <row r="6" spans="1:36" ht="12.75" customHeight="1">
      <c r="A6" s="14" t="s">
        <v>34</v>
      </c>
      <c r="B6" s="25" t="s">
        <v>54</v>
      </c>
    </row>
    <row r="7" spans="1:36" ht="12.75" customHeight="1">
      <c r="A7" s="14"/>
      <c r="B7" s="12" t="s">
        <v>21</v>
      </c>
      <c r="C7">
        <v>1</v>
      </c>
      <c r="D7">
        <v>1</v>
      </c>
      <c r="E7">
        <v>1</v>
      </c>
      <c r="F7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  <c r="AC7">
        <v>1</v>
      </c>
      <c r="AD7">
        <v>1</v>
      </c>
      <c r="AE7">
        <v>1</v>
      </c>
      <c r="AG7">
        <v>1</v>
      </c>
      <c r="AH7">
        <v>1</v>
      </c>
      <c r="AI7">
        <v>1</v>
      </c>
      <c r="AJ7">
        <v>1</v>
      </c>
    </row>
    <row r="8" spans="1:36" ht="12.75" customHeight="1">
      <c r="A8" s="26" t="s">
        <v>55</v>
      </c>
      <c r="B8" s="12" t="s">
        <v>22</v>
      </c>
      <c r="C8">
        <f>C7/(1+C7)</f>
        <v>0.5</v>
      </c>
      <c r="D8">
        <v>0.6</v>
      </c>
      <c r="E8">
        <v>0.7</v>
      </c>
      <c r="F8">
        <v>0.8</v>
      </c>
      <c r="H8">
        <f>H7/(1+H7)</f>
        <v>0.5</v>
      </c>
      <c r="I8">
        <v>0.6</v>
      </c>
      <c r="J8">
        <v>0.7</v>
      </c>
      <c r="K8">
        <v>0.8</v>
      </c>
      <c r="M8">
        <f>M7/(1+M7)</f>
        <v>0.5</v>
      </c>
      <c r="N8">
        <v>0.6</v>
      </c>
      <c r="O8">
        <v>0.7</v>
      </c>
      <c r="P8">
        <v>0.8</v>
      </c>
      <c r="R8">
        <f>R7/(1+R7)</f>
        <v>0.5</v>
      </c>
      <c r="S8">
        <v>0.6</v>
      </c>
      <c r="T8">
        <v>0.7</v>
      </c>
      <c r="U8">
        <v>0.8</v>
      </c>
      <c r="W8">
        <f>W7/(1+W7)</f>
        <v>0.5</v>
      </c>
      <c r="X8">
        <v>0.6</v>
      </c>
      <c r="Y8">
        <v>0.7</v>
      </c>
      <c r="Z8">
        <v>0.8</v>
      </c>
      <c r="AB8">
        <f>AB7/(1+AB7)</f>
        <v>0.5</v>
      </c>
      <c r="AC8">
        <v>0.6</v>
      </c>
      <c r="AD8">
        <v>0.7</v>
      </c>
      <c r="AE8">
        <v>0.8</v>
      </c>
      <c r="AG8">
        <f>AG7/(1+AG7)</f>
        <v>0.5</v>
      </c>
      <c r="AH8">
        <v>0.6</v>
      </c>
      <c r="AI8">
        <v>0.7</v>
      </c>
      <c r="AJ8">
        <v>0.8</v>
      </c>
    </row>
    <row r="9" spans="1:36" ht="12.75" customHeight="1">
      <c r="A9" s="16"/>
      <c r="B9" s="12" t="s">
        <v>23</v>
      </c>
      <c r="C9">
        <f>1/(1+C7)</f>
        <v>0.5</v>
      </c>
      <c r="D9">
        <v>0.4</v>
      </c>
      <c r="E9">
        <v>0.3</v>
      </c>
      <c r="F9">
        <v>0.2</v>
      </c>
      <c r="H9">
        <f>1/(1+H7)</f>
        <v>0.5</v>
      </c>
      <c r="I9">
        <v>0.4</v>
      </c>
      <c r="J9">
        <v>0.3</v>
      </c>
      <c r="K9">
        <v>0.2</v>
      </c>
      <c r="M9">
        <f>1/(1+M7)</f>
        <v>0.5</v>
      </c>
      <c r="N9">
        <v>0.4</v>
      </c>
      <c r="O9">
        <v>0.3</v>
      </c>
      <c r="P9">
        <v>0.2</v>
      </c>
      <c r="R9">
        <f>1/(1+R7)</f>
        <v>0.5</v>
      </c>
      <c r="S9">
        <v>0.4</v>
      </c>
      <c r="T9">
        <v>0.3</v>
      </c>
      <c r="U9">
        <v>0.2</v>
      </c>
      <c r="W9">
        <f>1/(1+W7)</f>
        <v>0.5</v>
      </c>
      <c r="X9">
        <v>0.4</v>
      </c>
      <c r="Y9">
        <v>0.3</v>
      </c>
      <c r="Z9">
        <v>0.2</v>
      </c>
      <c r="AB9">
        <f>1/(1+AB7)</f>
        <v>0.5</v>
      </c>
      <c r="AC9">
        <v>0.4</v>
      </c>
      <c r="AD9">
        <v>0.3</v>
      </c>
      <c r="AE9">
        <v>0.2</v>
      </c>
      <c r="AG9">
        <f>1/(1+AG7)</f>
        <v>0.5</v>
      </c>
      <c r="AH9">
        <v>0.4</v>
      </c>
      <c r="AI9">
        <v>0.3</v>
      </c>
      <c r="AJ9">
        <v>0.2</v>
      </c>
    </row>
    <row r="10" spans="1:36" ht="12.75" customHeight="1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R10" s="5"/>
      <c r="S10" s="5"/>
      <c r="T10" s="5"/>
      <c r="U10" s="5"/>
      <c r="W10" s="5"/>
      <c r="X10" s="5"/>
      <c r="Y10" s="5"/>
      <c r="Z10" s="5"/>
      <c r="AB10" s="5"/>
      <c r="AC10" s="5"/>
      <c r="AD10" s="5"/>
      <c r="AE10" s="5"/>
      <c r="AG10" s="5"/>
      <c r="AH10" s="5"/>
      <c r="AI10" s="5"/>
      <c r="AJ10" s="5"/>
    </row>
    <row r="11" spans="1:36" ht="12.75" customHeight="1">
      <c r="A11" s="27"/>
      <c r="B11" s="25" t="s">
        <v>56</v>
      </c>
      <c r="C11" s="2"/>
      <c r="D11" s="2"/>
      <c r="E11" s="2"/>
      <c r="F11" s="2"/>
      <c r="G11" s="5"/>
      <c r="H11" s="2"/>
      <c r="I11" s="2"/>
      <c r="J11" s="2"/>
      <c r="K11" s="2"/>
      <c r="L11" s="5"/>
      <c r="M11" s="2"/>
      <c r="N11" s="2"/>
      <c r="O11" s="2"/>
      <c r="P11" s="2"/>
      <c r="R11" s="2"/>
      <c r="S11" s="2"/>
      <c r="T11" s="2"/>
      <c r="U11" s="2"/>
      <c r="W11" s="2"/>
      <c r="X11" s="2"/>
      <c r="Y11" s="2"/>
      <c r="Z11" s="2"/>
      <c r="AB11" s="2"/>
      <c r="AC11" s="2"/>
      <c r="AD11" s="2"/>
      <c r="AE11" s="2"/>
      <c r="AG11" s="2"/>
      <c r="AH11" s="2"/>
      <c r="AI11" s="2"/>
      <c r="AJ11" s="2"/>
    </row>
    <row r="12" spans="1:36" ht="12.75" customHeight="1">
      <c r="A12" s="14" t="s">
        <v>27</v>
      </c>
      <c r="B12" s="12" t="s">
        <v>26</v>
      </c>
      <c r="C12" s="9">
        <v>3.2980510000000002E-3</v>
      </c>
      <c r="D12" s="9">
        <v>4.1230937000000002E-3</v>
      </c>
      <c r="E12" s="9">
        <v>4.9548018000000003E-3</v>
      </c>
      <c r="F12" s="9">
        <v>5.7643534999999996E-3</v>
      </c>
      <c r="G12" s="31"/>
      <c r="H12" s="9">
        <v>2.5318874000000002E-3</v>
      </c>
      <c r="I12" s="9">
        <v>3.1911722E-3</v>
      </c>
      <c r="J12" s="9">
        <v>3.8360082999999998E-3</v>
      </c>
      <c r="K12" s="9">
        <v>4.4046932000000004E-3</v>
      </c>
      <c r="L12" s="31"/>
      <c r="M12" s="9">
        <v>1.8053035E-3</v>
      </c>
      <c r="N12" s="9">
        <v>2.3208784999999999E-3</v>
      </c>
      <c r="O12" s="9">
        <v>2.8130870000000001E-3</v>
      </c>
      <c r="P12" s="9">
        <v>3.2138760000000001E-3</v>
      </c>
      <c r="Q12" s="30"/>
      <c r="R12" s="9">
        <v>1.1772839E-3</v>
      </c>
      <c r="S12" s="9">
        <v>1.5547355E-3</v>
      </c>
      <c r="T12" s="9">
        <v>1.9128323E-3</v>
      </c>
      <c r="U12" s="9">
        <v>2.2007007000000001E-3</v>
      </c>
      <c r="V12" s="30"/>
      <c r="W12" s="9">
        <v>7.1376426000000002E-4</v>
      </c>
      <c r="X12" s="9">
        <v>9.7668100000000008E-4</v>
      </c>
      <c r="Y12" s="9">
        <v>1.2308835000000001E-3</v>
      </c>
      <c r="Z12" s="9">
        <v>1.444505E-3</v>
      </c>
      <c r="AA12" s="30"/>
      <c r="AB12" s="45">
        <v>4.1216620000000001E-4</v>
      </c>
      <c r="AC12" s="46"/>
      <c r="AD12" s="46"/>
      <c r="AE12" s="46"/>
      <c r="AF12" s="30"/>
      <c r="AG12" s="47"/>
      <c r="AH12" s="46"/>
      <c r="AI12" s="46"/>
      <c r="AJ12" s="46"/>
    </row>
    <row r="13" spans="1:36" ht="12.75" customHeight="1">
      <c r="A13" s="14" t="s">
        <v>30</v>
      </c>
      <c r="B13" s="12" t="s">
        <v>28</v>
      </c>
      <c r="C13" s="9">
        <v>3.6317904999999999E-3</v>
      </c>
      <c r="D13" s="9">
        <v>2.6240093000000002E-3</v>
      </c>
      <c r="E13" s="9">
        <v>1.6588772000000001E-3</v>
      </c>
      <c r="F13" s="9">
        <v>7.6251162000000002E-4</v>
      </c>
      <c r="G13" s="31"/>
      <c r="H13" s="9">
        <v>3.1504553E-3</v>
      </c>
      <c r="I13" s="9">
        <v>2.1453814000000002E-3</v>
      </c>
      <c r="J13" s="9">
        <v>1.2146696E-3</v>
      </c>
      <c r="K13" s="9">
        <v>4.3123442999999997E-4</v>
      </c>
      <c r="L13" s="31"/>
      <c r="M13" s="9">
        <v>2.7359306999999999E-3</v>
      </c>
      <c r="N13" s="9">
        <v>1.7922986000000001E-3</v>
      </c>
      <c r="O13" s="9">
        <v>9.6006906999999996E-4</v>
      </c>
      <c r="P13" s="9">
        <v>3.2348998999999999E-4</v>
      </c>
      <c r="Q13" s="30"/>
      <c r="R13" s="9">
        <v>2.3800202000000001E-3</v>
      </c>
      <c r="S13" s="9">
        <v>1.5234258E-3</v>
      </c>
      <c r="T13" s="9">
        <v>8.0434276999999995E-4</v>
      </c>
      <c r="U13" s="9">
        <v>2.8492650000000002E-4</v>
      </c>
      <c r="V13" s="30"/>
      <c r="W13" s="9">
        <v>2.0730356000000002E-3</v>
      </c>
      <c r="X13" s="9">
        <v>1.3122195000000001E-3</v>
      </c>
      <c r="Y13" s="9">
        <v>6.9951732999999996E-4</v>
      </c>
      <c r="Z13" s="9">
        <v>2.6698915000000003E-4</v>
      </c>
      <c r="AA13" s="30"/>
      <c r="AB13" s="45">
        <v>1.7956477000000001E-3</v>
      </c>
      <c r="AC13" s="46"/>
      <c r="AD13" s="46"/>
      <c r="AE13" s="46"/>
      <c r="AF13" s="30"/>
      <c r="AG13" s="47"/>
      <c r="AH13" s="46"/>
      <c r="AI13" s="46"/>
      <c r="AJ13" s="46"/>
    </row>
    <row r="14" spans="1:36" ht="12.75" customHeight="1">
      <c r="A14" s="14" t="s">
        <v>32</v>
      </c>
      <c r="B14" s="12" t="s">
        <v>31</v>
      </c>
      <c r="C14" s="9">
        <v>5.5202566000000001E-4</v>
      </c>
      <c r="D14" s="9">
        <v>4.5128246000000001E-4</v>
      </c>
      <c r="E14" s="9">
        <v>3.3564848E-4</v>
      </c>
      <c r="F14" s="9">
        <v>2.0037842E-4</v>
      </c>
      <c r="G14" s="31"/>
      <c r="H14" s="9">
        <v>8.6251611999999997E-4</v>
      </c>
      <c r="I14" s="9">
        <v>6.7693850000000004E-4</v>
      </c>
      <c r="J14" s="9">
        <v>4.6725807000000001E-4</v>
      </c>
      <c r="K14" s="9">
        <v>2.3599413E-4</v>
      </c>
      <c r="L14" s="31"/>
      <c r="M14" s="9">
        <v>1.3033515000000001E-3</v>
      </c>
      <c r="N14" s="9">
        <v>1.011294E-3</v>
      </c>
      <c r="O14" s="9">
        <v>6.8389375999999998E-4</v>
      </c>
      <c r="P14" s="9">
        <v>3.4270668000000002E-4</v>
      </c>
      <c r="Q14" s="30"/>
      <c r="R14" s="9">
        <v>1.8703335E-3</v>
      </c>
      <c r="S14" s="9">
        <v>1.4559026E-3</v>
      </c>
      <c r="T14" s="9">
        <v>9.9533970000000005E-4</v>
      </c>
      <c r="U14" s="9">
        <v>5.2983339999999998E-4</v>
      </c>
      <c r="V14" s="30"/>
      <c r="W14" s="9">
        <v>2.5509490999999999E-3</v>
      </c>
      <c r="X14" s="9">
        <v>2.0149568999999999E-3</v>
      </c>
      <c r="Y14" s="9">
        <v>1.4175666000000001E-3</v>
      </c>
      <c r="Z14" s="9">
        <v>8.1266178000000003E-4</v>
      </c>
      <c r="AA14" s="30"/>
      <c r="AB14" s="45">
        <v>3.3029753000000002E-3</v>
      </c>
      <c r="AC14" s="46"/>
      <c r="AD14" s="46"/>
      <c r="AE14" s="46"/>
      <c r="AF14" s="30"/>
      <c r="AG14" s="47"/>
      <c r="AH14" s="46"/>
      <c r="AI14" s="46"/>
      <c r="AJ14" s="46"/>
    </row>
    <row r="15" spans="1:36" ht="12.75" customHeight="1">
      <c r="A15" s="14" t="s">
        <v>34</v>
      </c>
      <c r="B15" s="12" t="s">
        <v>33</v>
      </c>
      <c r="C15" s="9">
        <v>2.1843936E-3</v>
      </c>
      <c r="D15" s="9">
        <v>2.3006991999999999E-3</v>
      </c>
      <c r="E15" s="9">
        <v>2.3465973999999999E-3</v>
      </c>
      <c r="F15" s="9">
        <v>2.2745984999999998E-3</v>
      </c>
      <c r="G15" s="31"/>
      <c r="H15" s="9">
        <v>2.8365736E-3</v>
      </c>
      <c r="I15" s="9">
        <v>3.0322989E-3</v>
      </c>
      <c r="J15" s="9">
        <v>3.1034029999999998E-3</v>
      </c>
      <c r="K15" s="9">
        <v>2.9015372000000001E-3</v>
      </c>
      <c r="L15" s="31"/>
      <c r="M15" s="9">
        <v>3.2247872999999999E-3</v>
      </c>
      <c r="N15" s="9">
        <v>3.4041090999999998E-3</v>
      </c>
      <c r="O15" s="9">
        <v>3.3959683000000002E-3</v>
      </c>
      <c r="P15" s="9">
        <v>3.0103134999999999E-3</v>
      </c>
      <c r="Q15" s="30"/>
      <c r="R15" s="9">
        <v>3.3696263999999998E-3</v>
      </c>
      <c r="S15" s="9">
        <v>3.4972459999999999E-3</v>
      </c>
      <c r="T15" s="9">
        <v>3.3959749999999999E-3</v>
      </c>
      <c r="U15" s="9">
        <v>2.9003138000000001E-3</v>
      </c>
      <c r="V15" s="30"/>
      <c r="W15" s="9">
        <v>3.3029799E-3</v>
      </c>
      <c r="X15" s="9">
        <v>3.3606043000000002E-3</v>
      </c>
      <c r="Y15" s="9">
        <v>3.183399E-3</v>
      </c>
      <c r="Z15" s="9">
        <v>2.6533601E-3</v>
      </c>
      <c r="AA15" s="30"/>
      <c r="AB15" s="45">
        <v>3.1057295E-3</v>
      </c>
      <c r="AC15" s="46"/>
      <c r="AD15" s="46"/>
      <c r="AE15" s="46"/>
      <c r="AF15" s="30"/>
      <c r="AG15" s="47"/>
      <c r="AH15" s="46"/>
      <c r="AI15" s="46"/>
      <c r="AJ15" s="46"/>
    </row>
    <row r="16" spans="1:36" ht="12.75" customHeight="1">
      <c r="A16" s="22"/>
      <c r="B16" s="12" t="s">
        <v>35</v>
      </c>
      <c r="C16" s="9">
        <v>2.5181331000000001E-3</v>
      </c>
      <c r="D16" s="9">
        <v>2.8016147999999999E-3</v>
      </c>
      <c r="E16" s="9">
        <v>3.0506727000000002E-3</v>
      </c>
      <c r="F16" s="9">
        <v>3.2727566000000001E-3</v>
      </c>
      <c r="G16" s="31"/>
      <c r="H16" s="9">
        <v>3.4551413999999998E-3</v>
      </c>
      <c r="I16" s="9">
        <v>3.9865081999999998E-3</v>
      </c>
      <c r="J16" s="9">
        <v>4.4820642999999997E-3</v>
      </c>
      <c r="K16" s="9">
        <v>4.9280783999999999E-3</v>
      </c>
      <c r="L16" s="31"/>
      <c r="M16" s="9">
        <v>4.1554145000000002E-3</v>
      </c>
      <c r="N16" s="9">
        <v>4.8755290999999996E-3</v>
      </c>
      <c r="O16" s="9">
        <v>5.5429503000000001E-3</v>
      </c>
      <c r="P16" s="9">
        <v>6.1199274999999996E-3</v>
      </c>
      <c r="Q16" s="30"/>
      <c r="R16" s="9">
        <v>4.5723626999999998E-3</v>
      </c>
      <c r="S16" s="9">
        <v>5.4659362999999999E-3</v>
      </c>
      <c r="T16" s="9">
        <v>6.2874853999999999E-3</v>
      </c>
      <c r="U16" s="9">
        <v>6.9845395999999999E-3</v>
      </c>
      <c r="V16" s="30"/>
      <c r="W16" s="9">
        <v>4.6622512000000001E-3</v>
      </c>
      <c r="X16" s="9">
        <v>5.6961427999999998E-3</v>
      </c>
      <c r="Y16" s="9">
        <v>6.6520327999999998E-3</v>
      </c>
      <c r="Z16" s="9">
        <v>7.4758441999999998E-3</v>
      </c>
      <c r="AA16" s="30"/>
      <c r="AB16" s="45">
        <v>4.4892109999999999E-3</v>
      </c>
      <c r="AC16" s="46"/>
      <c r="AD16" s="46"/>
      <c r="AE16" s="46"/>
      <c r="AF16" s="30"/>
      <c r="AG16" s="47"/>
      <c r="AH16" s="46"/>
      <c r="AI16" s="46"/>
      <c r="AJ16" s="46"/>
    </row>
    <row r="17" spans="1:38" ht="12.75" customHeight="1">
      <c r="A17" s="14"/>
      <c r="B17" s="12" t="s">
        <v>36</v>
      </c>
      <c r="C17" s="9">
        <v>1.2195047E-3</v>
      </c>
      <c r="D17" s="9">
        <v>1.4531137E-3</v>
      </c>
      <c r="E17" s="9">
        <v>1.7437990999999999E-3</v>
      </c>
      <c r="F17" s="9">
        <v>2.1966946000000001E-3</v>
      </c>
      <c r="G17" s="31"/>
      <c r="H17" s="9">
        <v>2.0996516999999999E-3</v>
      </c>
      <c r="I17" s="9">
        <v>2.5853569999999999E-3</v>
      </c>
      <c r="J17" s="9">
        <v>3.2245806000000001E-3</v>
      </c>
      <c r="K17" s="9">
        <v>4.2890766000000004E-3</v>
      </c>
      <c r="L17" s="31"/>
      <c r="M17" s="9">
        <v>3.1646058999999999E-3</v>
      </c>
      <c r="N17" s="9">
        <v>3.9541341000000002E-3</v>
      </c>
      <c r="O17" s="9">
        <v>4.9778577999999999E-3</v>
      </c>
      <c r="P17" s="9">
        <v>6.5619346000000004E-3</v>
      </c>
      <c r="Q17" s="30"/>
      <c r="R17" s="9">
        <v>4.2758060999999997E-3</v>
      </c>
      <c r="S17" s="9">
        <v>5.3932831999999997E-3</v>
      </c>
      <c r="T17" s="9">
        <v>6.7783606E-3</v>
      </c>
      <c r="U17" s="9">
        <v>8.698285E-3</v>
      </c>
      <c r="V17" s="30"/>
      <c r="W17" s="9">
        <v>5.2694917999999997E-3</v>
      </c>
      <c r="X17" s="9">
        <v>6.6860339E-3</v>
      </c>
      <c r="Y17" s="9">
        <v>8.3548341999999994E-3</v>
      </c>
      <c r="Z17" s="9">
        <v>1.0457630000000001E-2</v>
      </c>
      <c r="AA17" s="30"/>
      <c r="AB17" s="45">
        <v>6.0699383000000001E-3</v>
      </c>
      <c r="AC17" s="46"/>
      <c r="AD17" s="46"/>
      <c r="AE17" s="46"/>
      <c r="AF17" s="30"/>
      <c r="AG17" s="47"/>
      <c r="AH17" s="46"/>
      <c r="AI17" s="46"/>
      <c r="AJ17" s="46"/>
    </row>
    <row r="18" spans="1:38" ht="12.75" customHeight="1">
      <c r="A18" s="33" t="s">
        <v>57</v>
      </c>
      <c r="B18" s="34" t="s">
        <v>58</v>
      </c>
      <c r="C18" s="35">
        <f>SUM(C12:C17)</f>
        <v>1.340389856E-2</v>
      </c>
      <c r="D18" s="35">
        <f>SUM(D12:D17)</f>
        <v>1.375381316E-2</v>
      </c>
      <c r="E18" s="35">
        <f>SUM(E12:E17)</f>
        <v>1.4090396680000001E-2</v>
      </c>
      <c r="F18" s="35">
        <f>SUM(F12:F17)</f>
        <v>1.4471293239999999E-2</v>
      </c>
      <c r="G18" s="31"/>
      <c r="H18" s="35">
        <f>SUM(H12:H17)</f>
        <v>1.4936225520000001E-2</v>
      </c>
      <c r="I18" s="35">
        <f>SUM(I12:I17)</f>
        <v>1.56176562E-2</v>
      </c>
      <c r="J18" s="35">
        <f>SUM(J12:J17)</f>
        <v>1.632798387E-2</v>
      </c>
      <c r="K18" s="35">
        <f>SUM(K12:K17)</f>
        <v>1.719061396E-2</v>
      </c>
      <c r="L18" s="31"/>
      <c r="M18" s="35">
        <f>SUM(M12:M17)</f>
        <v>1.6389393400000001E-2</v>
      </c>
      <c r="N18" s="35">
        <f>SUM(N12:N17)</f>
        <v>1.7358243400000001E-2</v>
      </c>
      <c r="O18" s="35">
        <f>SUM(O12:O17)</f>
        <v>1.8373826230000001E-2</v>
      </c>
      <c r="P18" s="35">
        <f>SUM(P12:P17)</f>
        <v>1.9572248269999998E-2</v>
      </c>
      <c r="Q18" s="30"/>
      <c r="R18" s="35">
        <f>SUM(R12:R17)</f>
        <v>1.7645432799999999E-2</v>
      </c>
      <c r="S18" s="35">
        <f>SUM(S12:S17)</f>
        <v>1.8890529399999998E-2</v>
      </c>
      <c r="T18" s="35">
        <f>SUM(T12:T17)</f>
        <v>2.0174335770000003E-2</v>
      </c>
      <c r="U18" s="35">
        <f>SUM(U12:U17)</f>
        <v>2.1598599E-2</v>
      </c>
      <c r="V18" s="30"/>
      <c r="W18" s="35">
        <f>SUM(W12:W17)</f>
        <v>1.8572471860000002E-2</v>
      </c>
      <c r="X18" s="35">
        <f>SUM(X12:X17)</f>
        <v>2.00466384E-2</v>
      </c>
      <c r="Y18" s="35">
        <f>SUM(Y12:Y17)</f>
        <v>2.1538233429999998E-2</v>
      </c>
      <c r="Z18" s="35">
        <f>SUM(Z12:Z17)</f>
        <v>2.3110990230000003E-2</v>
      </c>
      <c r="AA18" s="30"/>
      <c r="AB18" s="48">
        <f>SUM(AB12:AB17)</f>
        <v>1.9175668E-2</v>
      </c>
      <c r="AC18" s="35"/>
      <c r="AD18" s="35"/>
      <c r="AE18" s="35"/>
      <c r="AF18" s="30"/>
      <c r="AG18" s="35"/>
      <c r="AH18" s="35"/>
      <c r="AI18" s="35"/>
      <c r="AJ18" s="35"/>
    </row>
    <row r="19" spans="1:38" ht="12.75" customHeight="1">
      <c r="C19" s="36"/>
      <c r="D19" s="36"/>
      <c r="E19" s="36"/>
      <c r="F19" s="36"/>
      <c r="G19" s="31"/>
      <c r="H19" s="36"/>
      <c r="I19" s="36"/>
      <c r="J19" s="36"/>
      <c r="K19" s="36"/>
      <c r="L19" s="31"/>
      <c r="M19" s="36"/>
      <c r="N19" s="36"/>
      <c r="O19" s="36"/>
      <c r="P19" s="36"/>
      <c r="Q19" s="30"/>
      <c r="R19" s="36"/>
      <c r="S19" s="36"/>
      <c r="T19" s="36"/>
      <c r="U19" s="36"/>
      <c r="V19" s="30"/>
      <c r="W19" s="36"/>
      <c r="X19" s="36"/>
      <c r="Y19" s="36"/>
      <c r="Z19" s="36"/>
      <c r="AA19" s="30"/>
      <c r="AB19" s="49"/>
      <c r="AC19" s="36"/>
      <c r="AD19" s="36"/>
      <c r="AE19" s="36"/>
      <c r="AF19" s="30"/>
      <c r="AG19" s="36"/>
      <c r="AH19" s="36"/>
      <c r="AI19" s="36"/>
      <c r="AJ19" s="36"/>
      <c r="AL19" s="9"/>
    </row>
    <row r="20" spans="1:38" ht="12.75" customHeight="1">
      <c r="A20" s="11" t="s">
        <v>27</v>
      </c>
      <c r="B20" t="s">
        <v>59</v>
      </c>
      <c r="C20" s="10">
        <v>5.4598400000000003E-7</v>
      </c>
      <c r="D20" s="10">
        <v>5.8612199999999996E-7</v>
      </c>
      <c r="E20" s="10">
        <v>6.15294E-7</v>
      </c>
      <c r="F20" s="10">
        <v>6.1887499999999996E-7</v>
      </c>
      <c r="G20" s="31"/>
      <c r="H20" s="10">
        <v>7.9145600000000002E-7</v>
      </c>
      <c r="I20" s="10">
        <v>8.6496599999999999E-7</v>
      </c>
      <c r="J20" s="10">
        <v>9.1374299999999995E-7</v>
      </c>
      <c r="K20" s="10">
        <v>8.6367100000000003E-7</v>
      </c>
      <c r="L20" s="31"/>
      <c r="M20" s="10">
        <v>8.01762E-7</v>
      </c>
      <c r="N20" s="10">
        <v>6.8156800000000003E-7</v>
      </c>
      <c r="O20" s="10">
        <v>5.2598999999999996E-7</v>
      </c>
      <c r="P20" s="10">
        <v>4.10008E-7</v>
      </c>
      <c r="Q20" s="30"/>
      <c r="R20" s="10">
        <v>2.16704E-6</v>
      </c>
      <c r="S20" s="10">
        <v>2.1276799999999998E-6</v>
      </c>
      <c r="T20" s="10">
        <v>1.91792E-6</v>
      </c>
      <c r="U20" s="10">
        <v>1.49585E-6</v>
      </c>
      <c r="V20" s="30"/>
      <c r="W20" s="10">
        <v>3.7661700000000001E-6</v>
      </c>
      <c r="X20" s="10">
        <v>3.9131400000000001E-6</v>
      </c>
      <c r="Y20" s="10">
        <v>3.8114099999999999E-6</v>
      </c>
      <c r="Z20" s="10">
        <v>3.1734599999999999E-6</v>
      </c>
      <c r="AA20" s="30"/>
      <c r="AB20" s="43">
        <v>4.0642699999999998E-6</v>
      </c>
      <c r="AC20" s="46"/>
      <c r="AD20" s="46"/>
      <c r="AE20" s="50"/>
      <c r="AF20" s="30"/>
      <c r="AG20" s="51"/>
      <c r="AH20" s="46"/>
      <c r="AI20" s="46"/>
      <c r="AJ20" s="50"/>
      <c r="AL20" s="9"/>
    </row>
    <row r="21" spans="1:38" ht="12.75" customHeight="1">
      <c r="A21" s="14"/>
      <c r="B21" s="9" t="s">
        <v>38</v>
      </c>
      <c r="C21" s="30"/>
      <c r="D21" s="31"/>
      <c r="E21" s="30"/>
      <c r="F21" s="30"/>
      <c r="G21" s="31"/>
      <c r="H21" s="30"/>
      <c r="I21" s="31"/>
      <c r="J21" s="30"/>
      <c r="K21" s="30"/>
      <c r="L21" s="31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9"/>
      <c r="Z21" s="30"/>
      <c r="AA21" s="30"/>
      <c r="AB21" s="44"/>
      <c r="AC21" s="52"/>
      <c r="AD21" s="52"/>
      <c r="AE21" s="53"/>
      <c r="AF21" s="30"/>
      <c r="AG21" s="52"/>
      <c r="AH21" s="52"/>
      <c r="AI21" s="52"/>
      <c r="AJ21" s="53"/>
    </row>
    <row r="22" spans="1:38" ht="12.75" customHeight="1">
      <c r="A22" s="14" t="s">
        <v>30</v>
      </c>
      <c r="C22" s="30"/>
      <c r="D22" s="31"/>
      <c r="E22" s="30"/>
      <c r="F22" s="30"/>
      <c r="G22" s="30"/>
      <c r="H22" s="30"/>
      <c r="I22" s="31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44"/>
      <c r="AC22" s="52"/>
      <c r="AD22" s="52"/>
      <c r="AE22" s="53"/>
      <c r="AF22" s="30"/>
      <c r="AG22" s="52"/>
      <c r="AH22" s="52"/>
      <c r="AI22" s="52"/>
      <c r="AJ22" s="53"/>
    </row>
    <row r="23" spans="1:38" ht="12.75" customHeight="1">
      <c r="A23" s="14"/>
      <c r="B23" t="s">
        <v>60</v>
      </c>
      <c r="C23" s="10">
        <v>1.3682099999999999E-6</v>
      </c>
      <c r="D23" s="10">
        <v>1.2907800000000001E-6</v>
      </c>
      <c r="E23" s="10">
        <v>1.3411200000000001E-6</v>
      </c>
      <c r="F23" s="10">
        <v>1.2374899999999999E-6</v>
      </c>
      <c r="G23" s="30"/>
      <c r="H23" s="10">
        <v>1.8495400000000001E-6</v>
      </c>
      <c r="I23" s="10">
        <v>1.8546199999999999E-6</v>
      </c>
      <c r="J23" s="10">
        <v>1.7853300000000001E-6</v>
      </c>
      <c r="K23" s="10">
        <v>1.5687699999999999E-6</v>
      </c>
      <c r="L23" s="30"/>
      <c r="M23" s="10">
        <v>2.2640700000000001E-6</v>
      </c>
      <c r="N23" s="10">
        <v>2.2077000000000001E-6</v>
      </c>
      <c r="O23" s="10">
        <v>2.0399300000000001E-6</v>
      </c>
      <c r="P23" s="10">
        <v>1.67651E-6</v>
      </c>
      <c r="Q23" s="30"/>
      <c r="R23" s="10">
        <v>2.6199800000000002E-6</v>
      </c>
      <c r="S23" s="10">
        <v>2.4765700000000002E-6</v>
      </c>
      <c r="T23" s="10">
        <v>2.1956600000000002E-6</v>
      </c>
      <c r="U23" s="10">
        <v>1.7150699999999999E-6</v>
      </c>
      <c r="V23" s="30"/>
      <c r="W23" s="10">
        <v>2.9269599999999998E-6</v>
      </c>
      <c r="X23" s="10">
        <v>2.6877800000000002E-6</v>
      </c>
      <c r="Y23" s="10">
        <v>2.3004800000000001E-6</v>
      </c>
      <c r="Z23" s="10">
        <v>1.73301E-6</v>
      </c>
      <c r="AA23" s="30"/>
      <c r="AB23" s="43">
        <v>3.2043500000000001E-6</v>
      </c>
      <c r="AC23" s="46"/>
      <c r="AD23" s="46"/>
      <c r="AE23" s="50"/>
      <c r="AF23" s="30"/>
      <c r="AG23" s="51"/>
      <c r="AH23" s="46"/>
      <c r="AI23" s="46"/>
      <c r="AJ23" s="50"/>
    </row>
    <row r="24" spans="1:38" ht="12.75" customHeight="1">
      <c r="A24" s="14" t="s">
        <v>40</v>
      </c>
      <c r="B24" s="9" t="s">
        <v>41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44"/>
      <c r="AC24" s="52"/>
      <c r="AD24" s="52"/>
      <c r="AE24" s="53"/>
      <c r="AF24" s="30"/>
      <c r="AG24" s="52"/>
      <c r="AH24" s="52"/>
      <c r="AI24" s="52"/>
      <c r="AJ24" s="53"/>
    </row>
    <row r="25" spans="1:38" ht="12.75" customHeight="1">
      <c r="A25" s="14"/>
      <c r="C25" s="30"/>
      <c r="D25" s="30"/>
      <c r="E25" s="30"/>
      <c r="F25" s="30"/>
      <c r="G25" s="30"/>
      <c r="H25" s="30"/>
      <c r="I25" s="30"/>
      <c r="J25" s="30"/>
      <c r="K25" s="1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44"/>
      <c r="AC25" s="52"/>
      <c r="AD25" s="52"/>
      <c r="AE25" s="50"/>
      <c r="AF25" s="30"/>
      <c r="AG25" s="52"/>
      <c r="AH25" s="52"/>
      <c r="AI25" s="52"/>
      <c r="AJ25" s="50"/>
    </row>
    <row r="26" spans="1:38" ht="12.75" customHeight="1">
      <c r="A26" s="14"/>
      <c r="B26" t="s">
        <v>61</v>
      </c>
      <c r="C26" s="10">
        <v>1.15596E-6</v>
      </c>
      <c r="D26" s="10">
        <v>1.37599E-6</v>
      </c>
      <c r="E26" s="10">
        <v>1.4299000000000001E-6</v>
      </c>
      <c r="F26" s="10">
        <v>1.6167699999999999E-6</v>
      </c>
      <c r="G26" s="30"/>
      <c r="H26" s="10">
        <v>1.6766599999999999E-6</v>
      </c>
      <c r="I26" s="10">
        <v>1.9438599999999999E-6</v>
      </c>
      <c r="J26" s="10">
        <v>2.2502500000000002E-6</v>
      </c>
      <c r="K26" s="10">
        <v>2.7316400000000001E-6</v>
      </c>
      <c r="L26" s="30"/>
      <c r="M26" s="10">
        <v>2.39293E-6</v>
      </c>
      <c r="N26" s="10">
        <v>2.9975500000000002E-6</v>
      </c>
      <c r="O26" s="10">
        <v>3.6609200000000001E-6</v>
      </c>
      <c r="P26" s="10">
        <v>4.37612E-6</v>
      </c>
      <c r="Q26" s="30"/>
      <c r="R26" s="10">
        <v>1.65568E-6</v>
      </c>
      <c r="S26" s="10">
        <v>2.3175799999999999E-6</v>
      </c>
      <c r="T26" s="10">
        <v>3.1692500000000002E-6</v>
      </c>
      <c r="U26" s="10">
        <v>4.3034500000000003E-6</v>
      </c>
      <c r="V26" s="30"/>
      <c r="W26" s="10">
        <v>5.2007000000000002E-7</v>
      </c>
      <c r="X26" s="10">
        <v>1.1101800000000001E-6</v>
      </c>
      <c r="Y26" s="10">
        <v>1.9577100000000002E-6</v>
      </c>
      <c r="Z26" s="10">
        <v>3.3820399999999998E-6</v>
      </c>
      <c r="AA26" s="30"/>
      <c r="AB26" s="43">
        <v>5.2356900000000005E-7</v>
      </c>
      <c r="AC26" s="46"/>
      <c r="AD26" s="46"/>
      <c r="AE26" s="50"/>
      <c r="AF26" s="30"/>
      <c r="AG26" s="51"/>
      <c r="AH26" s="46"/>
      <c r="AI26" s="46"/>
      <c r="AJ26" s="50"/>
    </row>
    <row r="27" spans="1:38" ht="12.75" customHeight="1">
      <c r="A27" s="14" t="s">
        <v>43</v>
      </c>
      <c r="B27" s="9" t="s">
        <v>44</v>
      </c>
      <c r="AB27" s="7"/>
      <c r="AC27" s="54"/>
      <c r="AD27" s="54"/>
      <c r="AE27" s="54"/>
      <c r="AG27" s="54"/>
      <c r="AH27" s="54"/>
      <c r="AI27" s="54"/>
      <c r="AJ27" s="54"/>
    </row>
    <row r="28" spans="1:38" ht="12.75" customHeight="1">
      <c r="A28" s="22"/>
      <c r="AB28" s="7"/>
      <c r="AC28" s="54"/>
      <c r="AD28" s="54"/>
      <c r="AE28" s="54"/>
      <c r="AG28" s="54"/>
      <c r="AH28" s="54"/>
      <c r="AI28" s="54"/>
      <c r="AJ28" s="54"/>
    </row>
    <row r="29" spans="1:38" ht="12.75" customHeight="1">
      <c r="A29" s="14">
        <v>1</v>
      </c>
      <c r="B29" s="12" t="s">
        <v>45</v>
      </c>
      <c r="C29" s="45">
        <v>34.039000000000001</v>
      </c>
      <c r="D29" s="9">
        <v>31.2818</v>
      </c>
      <c r="E29" s="9">
        <v>29.217099999999999</v>
      </c>
      <c r="F29" s="9">
        <v>27.945599999999999</v>
      </c>
      <c r="H29" s="45">
        <v>49.362299999999998</v>
      </c>
      <c r="I29" s="9">
        <v>46.813800000000001</v>
      </c>
      <c r="J29" s="9">
        <v>45.1999</v>
      </c>
      <c r="K29" s="9">
        <v>44.941299999999998</v>
      </c>
      <c r="M29" s="9">
        <v>63.893900000000002</v>
      </c>
      <c r="N29" s="9">
        <v>61.3187</v>
      </c>
      <c r="O29" s="9">
        <v>59.813000000000002</v>
      </c>
      <c r="P29" s="9">
        <v>59.826500000000003</v>
      </c>
      <c r="R29" s="9">
        <v>76.454300000000003</v>
      </c>
      <c r="S29" s="9">
        <v>74.087699999999998</v>
      </c>
      <c r="T29" s="9">
        <v>72.6738</v>
      </c>
      <c r="U29" s="9">
        <v>72.491200000000006</v>
      </c>
      <c r="W29" s="9">
        <v>85.724699999999999</v>
      </c>
      <c r="X29" s="9">
        <v>83.721999999999994</v>
      </c>
      <c r="Y29" s="9">
        <v>82.415899999999993</v>
      </c>
      <c r="Z29" s="9">
        <v>81.943700000000007</v>
      </c>
      <c r="AB29" s="45">
        <v>91.756699999999995</v>
      </c>
      <c r="AC29" s="47"/>
      <c r="AD29" s="47"/>
      <c r="AE29" s="47"/>
      <c r="AG29" s="47"/>
      <c r="AH29" s="47"/>
      <c r="AI29" s="47"/>
      <c r="AJ29" s="47"/>
    </row>
    <row r="30" spans="1:38" ht="12.75" customHeight="1">
      <c r="A30" s="23"/>
      <c r="B30" s="12" t="s">
        <v>46</v>
      </c>
      <c r="C30" s="45">
        <v>27.3642</v>
      </c>
      <c r="D30" s="9">
        <v>34.399799999999999</v>
      </c>
      <c r="E30" s="9">
        <v>44.704099999999997</v>
      </c>
      <c r="F30" s="9">
        <v>61.874400000000001</v>
      </c>
      <c r="H30" s="45">
        <v>36.990900000000003</v>
      </c>
      <c r="I30" s="9">
        <v>46.365499999999997</v>
      </c>
      <c r="J30" s="9">
        <v>59.511000000000003</v>
      </c>
      <c r="K30" s="9">
        <v>78.438299999999998</v>
      </c>
      <c r="M30" s="9">
        <v>45.281399999999998</v>
      </c>
      <c r="N30" s="9">
        <v>55.192500000000003</v>
      </c>
      <c r="O30" s="9">
        <v>67.997699999999995</v>
      </c>
      <c r="P30" s="9">
        <v>83.825500000000005</v>
      </c>
      <c r="R30" s="9">
        <v>52.3996</v>
      </c>
      <c r="S30" s="9">
        <v>61.914400000000001</v>
      </c>
      <c r="T30" s="9">
        <v>73.188599999999994</v>
      </c>
      <c r="U30" s="9">
        <v>85.753699999999995</v>
      </c>
      <c r="W30" s="9">
        <v>58.539299999999997</v>
      </c>
      <c r="X30" s="9">
        <v>67.194500000000005</v>
      </c>
      <c r="Y30" s="9">
        <v>76.6828</v>
      </c>
      <c r="Z30" s="9">
        <v>86.650499999999994</v>
      </c>
      <c r="AB30" s="45">
        <v>64.087000000000003</v>
      </c>
      <c r="AC30" s="47"/>
      <c r="AD30" s="47"/>
      <c r="AE30" s="47"/>
      <c r="AG30" s="47"/>
      <c r="AH30" s="47"/>
      <c r="AI30" s="47"/>
      <c r="AJ30" s="47"/>
    </row>
    <row r="31" spans="1:38" ht="12.75" customHeight="1">
      <c r="B31" s="12" t="s">
        <v>47</v>
      </c>
      <c r="C31" s="21">
        <f>C26/(C20+C26)</f>
        <v>0.67919978565687233</v>
      </c>
      <c r="D31" s="21">
        <f>D26/(D20+D26)</f>
        <v>0.70128004925304988</v>
      </c>
      <c r="E31" s="21">
        <f>E26/(E20+E26)</f>
        <v>0.69915127855841541</v>
      </c>
      <c r="F31" s="21">
        <f>F26/(F20+F26)</f>
        <v>0.72317832213969568</v>
      </c>
      <c r="G31" s="21"/>
      <c r="H31" s="21">
        <f>H26/(H20+H26)</f>
        <v>0.6793278759993453</v>
      </c>
      <c r="I31" s="21">
        <f>I26/(I20+I26)</f>
        <v>0.69205426039206408</v>
      </c>
      <c r="J31" s="21">
        <f>J26/(J20+J26)</f>
        <v>0.71120574539829895</v>
      </c>
      <c r="K31" s="21">
        <f>K26/(K20+K26)</f>
        <v>0.75977850038564121</v>
      </c>
      <c r="L31" s="21"/>
      <c r="M31" s="21">
        <f>M26/(M20+M26)</f>
        <v>0.74903308362746712</v>
      </c>
      <c r="N31" s="21">
        <f>N26/(N20+N26)</f>
        <v>0.81474690401340755</v>
      </c>
      <c r="O31" s="21">
        <f>O26/(O20+O26)</f>
        <v>0.87437274744381888</v>
      </c>
      <c r="P31" s="21">
        <f>P26/(P20+P26)</f>
        <v>0.9143340921931048</v>
      </c>
      <c r="Q31" s="21"/>
      <c r="R31" s="21">
        <f>R26/(R20+R26)</f>
        <v>0.43311568725933369</v>
      </c>
      <c r="S31" s="21">
        <f>S26/(S20+S26)</f>
        <v>0.52135983047110857</v>
      </c>
      <c r="T31" s="21">
        <f>T26/(T20+T26)</f>
        <v>0.62298881303357267</v>
      </c>
      <c r="U31" s="21">
        <f>U26/(U20+U26)</f>
        <v>0.74206369734278277</v>
      </c>
      <c r="V31" s="21"/>
      <c r="W31" s="21">
        <f>W26/(W20+W26)</f>
        <v>0.12133478293329353</v>
      </c>
      <c r="X31" s="21">
        <f>X26/(X20+X26)</f>
        <v>0.22100523159981844</v>
      </c>
      <c r="Y31" s="21">
        <f>Y26/(Y20+Y26)</f>
        <v>0.33934291538397537</v>
      </c>
      <c r="Z31" s="21">
        <f>Z26/(Z20+Z26)</f>
        <v>0.51590877888795661</v>
      </c>
      <c r="AA31" s="21"/>
      <c r="AB31" s="21">
        <f>AB26/(AB20+AB26)</f>
        <v>0.11412104914753986</v>
      </c>
      <c r="AC31" s="21"/>
      <c r="AD31" s="21"/>
      <c r="AE31" s="21"/>
      <c r="AF31" s="21"/>
      <c r="AG31" s="21"/>
      <c r="AH31" s="21"/>
      <c r="AI31" s="21"/>
      <c r="AJ31" s="21"/>
    </row>
    <row r="32" spans="1:38" ht="12.75" customHeight="1">
      <c r="B32" s="12" t="s">
        <v>48</v>
      </c>
      <c r="C32" s="21">
        <f>C17/C14</f>
        <v>2.2091449517038755</v>
      </c>
      <c r="D32" s="21">
        <f>D17/D14</f>
        <v>3.2199649416908427</v>
      </c>
      <c r="E32" s="21">
        <f>E17/E14</f>
        <v>5.1953135613782608</v>
      </c>
      <c r="F32" s="21">
        <f>F17/F14</f>
        <v>10.962730417776525</v>
      </c>
      <c r="G32" s="21"/>
      <c r="H32" s="21">
        <f>H17/H14</f>
        <v>2.434333285272396</v>
      </c>
      <c r="I32" s="21">
        <f>I17/I14</f>
        <v>3.8191903695830565</v>
      </c>
      <c r="J32" s="21">
        <f>J17/J14</f>
        <v>6.9010698948441922</v>
      </c>
      <c r="K32" s="21">
        <f>K17/K14</f>
        <v>18.174505442148075</v>
      </c>
      <c r="L32" s="21"/>
      <c r="M32" s="21">
        <f>M17/M14</f>
        <v>2.4280525245875726</v>
      </c>
      <c r="N32" s="21">
        <f>N17/N14</f>
        <v>3.9099748441106148</v>
      </c>
      <c r="O32" s="21">
        <f>O17/O14</f>
        <v>7.2787004227089307</v>
      </c>
      <c r="P32" s="21">
        <f>P17/P14</f>
        <v>19.147378743828398</v>
      </c>
      <c r="Q32" s="21"/>
      <c r="R32" s="21">
        <f>R17/R14</f>
        <v>2.2861196144965588</v>
      </c>
      <c r="S32" s="21">
        <f>S17/S14</f>
        <v>3.7044258317829777</v>
      </c>
      <c r="T32" s="21">
        <f>T17/T14</f>
        <v>6.8100976983034034</v>
      </c>
      <c r="U32" s="21">
        <f>U17/U14</f>
        <v>16.41701901012658</v>
      </c>
      <c r="V32" s="21"/>
      <c r="W32" s="21">
        <f>W17/W14</f>
        <v>2.0656985276578039</v>
      </c>
      <c r="X32" s="21">
        <f>X17/X14</f>
        <v>3.3182019426817519</v>
      </c>
      <c r="Y32" s="21">
        <f>Y17/Y14</f>
        <v>5.8937860132991275</v>
      </c>
      <c r="Z32" s="21">
        <f>Z17/Z14</f>
        <v>12.868366960729961</v>
      </c>
      <c r="AA32" s="21"/>
      <c r="AB32" s="21">
        <f>AB17/AB14</f>
        <v>1.8377183444272198</v>
      </c>
      <c r="AC32" s="21"/>
      <c r="AD32" s="21"/>
      <c r="AE32" s="21"/>
      <c r="AF32" s="21"/>
      <c r="AG32" s="21"/>
      <c r="AH32" s="21"/>
      <c r="AI32" s="21"/>
      <c r="AJ32" s="21"/>
    </row>
    <row r="33" ht="12.75" customHeight="1"/>
    <row r="34" ht="12.75" customHeight="1"/>
    <row r="35" ht="12.75" customHeight="1"/>
    <row r="36" ht="12.75" customHeight="1"/>
    <row r="37" ht="12.75" customHeight="1"/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50"/>
  <sheetViews>
    <sheetView tabSelected="1" zoomScale="83" zoomScaleNormal="83" workbookViewId="0">
      <selection activeCell="C54" sqref="C54"/>
    </sheetView>
  </sheetViews>
  <sheetFormatPr defaultColWidth="11.54296875" defaultRowHeight="12.5"/>
  <cols>
    <col min="1" max="1" width="6.54296875" customWidth="1"/>
    <col min="2" max="2" width="30.7265625" customWidth="1"/>
    <col min="3" max="6" width="12.7265625" customWidth="1"/>
    <col min="7" max="7" width="2" customWidth="1"/>
    <col min="8" max="11" width="12.7265625" customWidth="1"/>
    <col min="12" max="12" width="2" customWidth="1"/>
    <col min="13" max="16" width="12.7265625" customWidth="1"/>
    <col min="17" max="17" width="2" customWidth="1"/>
    <col min="18" max="21" width="12.7265625" customWidth="1"/>
    <col min="22" max="22" width="2" customWidth="1"/>
    <col min="23" max="26" width="12.7265625" customWidth="1"/>
    <col min="27" max="27" width="2" customWidth="1"/>
    <col min="28" max="28" width="14" customWidth="1"/>
    <col min="32" max="32" width="2" customWidth="1"/>
  </cols>
  <sheetData>
    <row r="1" spans="1:36" ht="12.75" customHeight="1"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</row>
    <row r="2" spans="1:36" ht="12.75" customHeight="1">
      <c r="A2" s="11"/>
      <c r="B2" s="12" t="s">
        <v>49</v>
      </c>
      <c r="C2" s="2" t="s">
        <v>6</v>
      </c>
      <c r="D2" s="2" t="s">
        <v>6</v>
      </c>
      <c r="E2" s="2" t="s">
        <v>6</v>
      </c>
      <c r="F2" s="2" t="s">
        <v>6</v>
      </c>
      <c r="G2" s="2"/>
      <c r="H2" s="2" t="s">
        <v>50</v>
      </c>
      <c r="I2" s="2" t="s">
        <v>50</v>
      </c>
      <c r="J2" s="2" t="s">
        <v>50</v>
      </c>
      <c r="K2" s="2" t="s">
        <v>50</v>
      </c>
      <c r="L2" s="5"/>
      <c r="M2" s="2" t="s">
        <v>8</v>
      </c>
      <c r="N2" s="2" t="s">
        <v>8</v>
      </c>
      <c r="O2" s="2" t="s">
        <v>8</v>
      </c>
      <c r="P2" s="2" t="s">
        <v>8</v>
      </c>
      <c r="Q2" s="2"/>
      <c r="R2" s="2" t="s">
        <v>9</v>
      </c>
      <c r="S2" s="2" t="s">
        <v>9</v>
      </c>
      <c r="T2" s="2" t="s">
        <v>9</v>
      </c>
      <c r="U2" s="2" t="s">
        <v>9</v>
      </c>
      <c r="W2" s="2" t="s">
        <v>10</v>
      </c>
      <c r="X2" s="2" t="s">
        <v>10</v>
      </c>
      <c r="Y2" s="2" t="s">
        <v>10</v>
      </c>
      <c r="Z2" s="2" t="s">
        <v>10</v>
      </c>
      <c r="AA2" s="41"/>
      <c r="AB2" s="2" t="s">
        <v>11</v>
      </c>
      <c r="AC2" s="2" t="s">
        <v>11</v>
      </c>
      <c r="AD2" s="2" t="s">
        <v>11</v>
      </c>
      <c r="AE2" s="2" t="s">
        <v>11</v>
      </c>
      <c r="AF2" s="41"/>
      <c r="AG2" s="2" t="s">
        <v>12</v>
      </c>
      <c r="AH2" s="2" t="s">
        <v>12</v>
      </c>
      <c r="AI2" s="2" t="s">
        <v>12</v>
      </c>
      <c r="AJ2" s="2" t="s">
        <v>12</v>
      </c>
    </row>
    <row r="3" spans="1:36" ht="12.75" customHeight="1">
      <c r="A3" s="14" t="s">
        <v>40</v>
      </c>
      <c r="B3" s="12" t="s">
        <v>51</v>
      </c>
      <c r="C3" s="21">
        <v>1519875</v>
      </c>
      <c r="D3" s="21">
        <v>1519875</v>
      </c>
      <c r="E3" s="21">
        <v>1519875</v>
      </c>
      <c r="F3" s="21">
        <v>1519875</v>
      </c>
      <c r="G3" s="21"/>
      <c r="H3" s="21">
        <v>1519875</v>
      </c>
      <c r="I3" s="21">
        <v>1519875</v>
      </c>
      <c r="J3" s="21">
        <v>1519875</v>
      </c>
      <c r="K3" s="21">
        <v>1519875</v>
      </c>
      <c r="M3" s="21">
        <v>1519875</v>
      </c>
      <c r="N3" s="21">
        <v>1519875</v>
      </c>
      <c r="O3" s="21">
        <v>1519875</v>
      </c>
      <c r="P3" s="21">
        <v>1519875</v>
      </c>
      <c r="Q3" s="21"/>
      <c r="R3" s="21">
        <v>1519875</v>
      </c>
      <c r="S3" s="21">
        <v>1519875</v>
      </c>
      <c r="T3" s="21">
        <v>1519875</v>
      </c>
      <c r="U3" s="21">
        <v>1519875</v>
      </c>
      <c r="W3" s="21">
        <v>1519875</v>
      </c>
      <c r="X3" s="21">
        <v>1519875</v>
      </c>
      <c r="Y3" s="21">
        <v>1519875</v>
      </c>
      <c r="Z3" s="21">
        <v>1519875</v>
      </c>
      <c r="AB3" s="21">
        <v>1519875</v>
      </c>
      <c r="AC3" s="21">
        <v>1519875</v>
      </c>
      <c r="AD3" s="21">
        <v>1519875</v>
      </c>
      <c r="AE3" s="21">
        <v>1519875</v>
      </c>
      <c r="AG3" s="21">
        <v>1519875</v>
      </c>
      <c r="AH3" s="21">
        <v>1519875</v>
      </c>
      <c r="AI3" s="21">
        <v>1519875</v>
      </c>
      <c r="AJ3" s="21">
        <v>1519875</v>
      </c>
    </row>
    <row r="4" spans="1:36" ht="12.75" customHeight="1">
      <c r="A4" s="14" t="s">
        <v>52</v>
      </c>
      <c r="B4" s="12" t="s">
        <v>53</v>
      </c>
      <c r="C4">
        <v>0.01</v>
      </c>
      <c r="D4">
        <v>0.01</v>
      </c>
      <c r="E4">
        <v>0.01</v>
      </c>
      <c r="F4">
        <v>0.01</v>
      </c>
      <c r="H4">
        <v>0.01</v>
      </c>
      <c r="I4">
        <v>0.01</v>
      </c>
      <c r="J4">
        <v>0.01</v>
      </c>
      <c r="K4">
        <v>0.01</v>
      </c>
      <c r="M4">
        <v>0.01</v>
      </c>
      <c r="N4">
        <v>0.01</v>
      </c>
      <c r="O4">
        <v>0.01</v>
      </c>
      <c r="P4">
        <v>0.01</v>
      </c>
      <c r="R4">
        <v>0.01</v>
      </c>
      <c r="S4">
        <v>0.01</v>
      </c>
      <c r="T4">
        <v>0.01</v>
      </c>
      <c r="U4">
        <v>0.01</v>
      </c>
      <c r="W4">
        <v>0.01</v>
      </c>
      <c r="X4">
        <v>0.01</v>
      </c>
      <c r="Y4">
        <v>0.01</v>
      </c>
      <c r="Z4">
        <v>0.01</v>
      </c>
      <c r="AB4">
        <v>0.01</v>
      </c>
      <c r="AC4">
        <v>0.01</v>
      </c>
      <c r="AD4">
        <v>0.01</v>
      </c>
      <c r="AE4">
        <v>0.01</v>
      </c>
      <c r="AG4">
        <v>0.01</v>
      </c>
      <c r="AH4">
        <v>0.01</v>
      </c>
      <c r="AI4">
        <v>0.01</v>
      </c>
      <c r="AJ4">
        <v>0.01</v>
      </c>
    </row>
    <row r="5" spans="1:36" ht="12.75" customHeight="1">
      <c r="A5" s="14" t="s">
        <v>52</v>
      </c>
    </row>
    <row r="6" spans="1:36" ht="12.75" customHeight="1">
      <c r="A6" s="14" t="s">
        <v>34</v>
      </c>
      <c r="B6" s="25" t="s">
        <v>54</v>
      </c>
    </row>
    <row r="7" spans="1:36" ht="12.75" customHeight="1">
      <c r="A7" s="14"/>
      <c r="B7" s="12" t="s">
        <v>21</v>
      </c>
      <c r="C7">
        <v>1</v>
      </c>
      <c r="D7">
        <v>1</v>
      </c>
      <c r="E7">
        <v>1</v>
      </c>
      <c r="F7">
        <v>1</v>
      </c>
      <c r="H7">
        <v>1</v>
      </c>
      <c r="I7">
        <v>1</v>
      </c>
      <c r="J7">
        <v>1</v>
      </c>
      <c r="K7">
        <v>1</v>
      </c>
      <c r="M7">
        <v>1</v>
      </c>
      <c r="N7">
        <v>1</v>
      </c>
      <c r="O7">
        <v>1</v>
      </c>
      <c r="P7">
        <v>1</v>
      </c>
      <c r="R7">
        <v>1</v>
      </c>
      <c r="S7">
        <v>1</v>
      </c>
      <c r="T7">
        <v>1</v>
      </c>
      <c r="U7">
        <v>1</v>
      </c>
      <c r="W7">
        <v>1</v>
      </c>
      <c r="X7">
        <v>1</v>
      </c>
      <c r="Y7">
        <v>1</v>
      </c>
      <c r="Z7">
        <v>1</v>
      </c>
      <c r="AB7">
        <v>1</v>
      </c>
      <c r="AC7">
        <v>1</v>
      </c>
      <c r="AD7">
        <v>1</v>
      </c>
      <c r="AE7">
        <v>1</v>
      </c>
      <c r="AG7">
        <v>1</v>
      </c>
      <c r="AH7">
        <v>1</v>
      </c>
      <c r="AI7">
        <v>1</v>
      </c>
      <c r="AJ7">
        <v>1</v>
      </c>
    </row>
    <row r="8" spans="1:36" ht="12.75" customHeight="1">
      <c r="A8" s="26" t="s">
        <v>55</v>
      </c>
      <c r="B8" s="12" t="s">
        <v>22</v>
      </c>
      <c r="C8">
        <f>C7/(1+C7)</f>
        <v>0.5</v>
      </c>
      <c r="D8">
        <v>0.6</v>
      </c>
      <c r="E8">
        <v>0.7</v>
      </c>
      <c r="F8">
        <v>0.8</v>
      </c>
      <c r="H8">
        <f>H7/(1+H7)</f>
        <v>0.5</v>
      </c>
      <c r="I8">
        <v>0.6</v>
      </c>
      <c r="J8">
        <v>0.7</v>
      </c>
      <c r="K8">
        <v>0.8</v>
      </c>
      <c r="M8">
        <f>M7/(1+M7)</f>
        <v>0.5</v>
      </c>
      <c r="N8">
        <v>0.6</v>
      </c>
      <c r="O8">
        <v>0.7</v>
      </c>
      <c r="P8">
        <v>0.8</v>
      </c>
      <c r="R8">
        <f>R7/(1+R7)</f>
        <v>0.5</v>
      </c>
      <c r="S8">
        <v>0.6</v>
      </c>
      <c r="T8">
        <v>0.7</v>
      </c>
      <c r="U8">
        <v>0.8</v>
      </c>
      <c r="W8">
        <f>W7/(1+W7)</f>
        <v>0.5</v>
      </c>
      <c r="X8">
        <v>0.6</v>
      </c>
      <c r="Y8">
        <v>0.7</v>
      </c>
      <c r="Z8">
        <v>0.8</v>
      </c>
      <c r="AB8">
        <f>AB7/(1+AB7)</f>
        <v>0.5</v>
      </c>
      <c r="AC8">
        <v>0.6</v>
      </c>
      <c r="AD8">
        <v>0.7</v>
      </c>
      <c r="AE8">
        <v>0.8</v>
      </c>
      <c r="AG8">
        <f>AG7/(1+AG7)</f>
        <v>0.5</v>
      </c>
      <c r="AH8">
        <v>0.6</v>
      </c>
      <c r="AI8">
        <v>0.7</v>
      </c>
      <c r="AJ8">
        <v>0.8</v>
      </c>
    </row>
    <row r="9" spans="1:36" ht="12.75" customHeight="1">
      <c r="A9" s="16"/>
      <c r="B9" s="12" t="s">
        <v>23</v>
      </c>
      <c r="C9">
        <f>1/(1+C7)</f>
        <v>0.5</v>
      </c>
      <c r="D9">
        <v>0.4</v>
      </c>
      <c r="E9">
        <v>0.3</v>
      </c>
      <c r="F9">
        <v>0.2</v>
      </c>
      <c r="H9">
        <f>1/(1+H7)</f>
        <v>0.5</v>
      </c>
      <c r="I9">
        <v>0.4</v>
      </c>
      <c r="J9">
        <v>0.3</v>
      </c>
      <c r="K9">
        <v>0.2</v>
      </c>
      <c r="M9">
        <f>1/(1+M7)</f>
        <v>0.5</v>
      </c>
      <c r="N9">
        <v>0.4</v>
      </c>
      <c r="O9">
        <v>0.3</v>
      </c>
      <c r="P9">
        <v>0.2</v>
      </c>
      <c r="R9">
        <f>1/(1+R7)</f>
        <v>0.5</v>
      </c>
      <c r="S9">
        <v>0.4</v>
      </c>
      <c r="T9">
        <v>0.3</v>
      </c>
      <c r="U9">
        <v>0.2</v>
      </c>
      <c r="W9">
        <f>1/(1+W7)</f>
        <v>0.5</v>
      </c>
      <c r="X9">
        <v>0.4</v>
      </c>
      <c r="Y9">
        <v>0.3</v>
      </c>
      <c r="Z9">
        <v>0.2</v>
      </c>
      <c r="AB9">
        <f>1/(1+AB7)</f>
        <v>0.5</v>
      </c>
      <c r="AC9">
        <v>0.4</v>
      </c>
      <c r="AD9">
        <v>0.3</v>
      </c>
      <c r="AE9">
        <v>0.2</v>
      </c>
      <c r="AG9">
        <f>1/(1+AG7)</f>
        <v>0.5</v>
      </c>
      <c r="AH9">
        <v>0.4</v>
      </c>
      <c r="AI9">
        <v>0.3</v>
      </c>
      <c r="AJ9">
        <v>0.2</v>
      </c>
    </row>
    <row r="10" spans="1:36" ht="12.75" customHeight="1">
      <c r="A10" s="1"/>
      <c r="C10" s="2"/>
      <c r="D10" s="2"/>
      <c r="E10" s="2"/>
      <c r="F10" s="2"/>
      <c r="G10" s="2"/>
      <c r="H10" s="2"/>
      <c r="I10" s="2"/>
      <c r="J10" s="2"/>
      <c r="K10" s="2"/>
      <c r="L10" s="55"/>
      <c r="M10" s="2"/>
      <c r="N10" s="2"/>
      <c r="O10" s="2"/>
      <c r="P10" s="1"/>
      <c r="Q10" s="1"/>
      <c r="R10" s="2"/>
      <c r="S10" s="2"/>
      <c r="T10" s="2"/>
      <c r="U10" s="1"/>
      <c r="W10" s="2"/>
      <c r="X10" s="2"/>
      <c r="Y10" s="2"/>
      <c r="Z10" s="2"/>
      <c r="AB10" s="2"/>
      <c r="AC10" s="2"/>
      <c r="AD10" s="2"/>
      <c r="AE10" s="2"/>
      <c r="AG10" s="2"/>
      <c r="AH10" s="2"/>
      <c r="AI10" s="2"/>
      <c r="AJ10" s="2"/>
    </row>
    <row r="11" spans="1:36" ht="13.5" customHeight="1">
      <c r="A11" s="27"/>
      <c r="B11" s="25" t="s">
        <v>56</v>
      </c>
      <c r="C11" s="2"/>
      <c r="D11" s="2"/>
      <c r="E11" s="2"/>
      <c r="F11" s="2"/>
      <c r="G11" s="2"/>
      <c r="H11" s="2"/>
      <c r="I11" s="2"/>
      <c r="J11" s="2"/>
      <c r="K11" s="2"/>
      <c r="L11" s="5"/>
      <c r="M11" s="2"/>
      <c r="N11" s="2"/>
      <c r="O11" s="2"/>
      <c r="P11" s="2"/>
      <c r="Q11" s="2"/>
      <c r="R11" s="2"/>
      <c r="S11" s="2"/>
      <c r="T11" s="2"/>
      <c r="U11" s="2"/>
      <c r="W11" s="2"/>
      <c r="X11" s="2"/>
      <c r="Y11" s="2"/>
      <c r="Z11" s="2"/>
      <c r="AB11" s="2"/>
      <c r="AC11" s="2"/>
      <c r="AD11" s="2"/>
      <c r="AE11" s="2"/>
      <c r="AG11" s="2"/>
      <c r="AH11" s="2"/>
      <c r="AI11" s="2"/>
      <c r="AJ11" s="2"/>
    </row>
    <row r="12" spans="1:36" ht="18" customHeight="1">
      <c r="A12" s="14" t="s">
        <v>27</v>
      </c>
      <c r="B12" s="12" t="s">
        <v>26</v>
      </c>
      <c r="C12" s="9">
        <v>3.5662269999999999E-3</v>
      </c>
      <c r="D12" s="9">
        <v>4.4317866999999999E-3</v>
      </c>
      <c r="E12" s="9">
        <v>5.3052625000000004E-3</v>
      </c>
      <c r="F12" s="9">
        <v>6.1669206000000004E-3</v>
      </c>
      <c r="G12" s="9"/>
      <c r="H12" s="9">
        <v>2.8712678000000001E-3</v>
      </c>
      <c r="I12" s="9">
        <v>3.5939663000000002E-3</v>
      </c>
      <c r="J12" s="9">
        <v>4.3089212000000003E-3</v>
      </c>
      <c r="K12" s="9">
        <v>4.9668632999999998E-3</v>
      </c>
      <c r="L12" s="31"/>
      <c r="M12" s="9">
        <v>2.1796048000000002E-3</v>
      </c>
      <c r="N12" s="9">
        <v>2.7742558E-3</v>
      </c>
      <c r="O12" s="9">
        <v>3.3482035999999999E-3</v>
      </c>
      <c r="P12" s="9">
        <v>3.8317109999999998E-3</v>
      </c>
      <c r="Q12" s="9"/>
      <c r="R12" s="9">
        <v>1.5271941E-3</v>
      </c>
      <c r="S12" s="9">
        <v>1.9884896000000002E-3</v>
      </c>
      <c r="T12" s="9">
        <v>3.3482035999999999E-3</v>
      </c>
      <c r="U12" s="9">
        <v>2.7790764999999999E-3</v>
      </c>
      <c r="V12" s="30"/>
      <c r="W12" s="9">
        <v>9.9470003999999989E-4</v>
      </c>
      <c r="X12" s="9">
        <v>1.3346357000000001E-3</v>
      </c>
      <c r="Y12" s="9">
        <v>1.6587927000000001E-3</v>
      </c>
      <c r="Z12" s="9">
        <v>1.9228924E-3</v>
      </c>
      <c r="AA12" s="30"/>
      <c r="AB12" s="9">
        <v>6.1240934999999997E-4</v>
      </c>
      <c r="AC12" s="2"/>
      <c r="AD12" s="2"/>
      <c r="AE12" s="2"/>
      <c r="AF12" s="30"/>
      <c r="AG12" s="9"/>
      <c r="AH12" s="9"/>
      <c r="AI12" s="9"/>
      <c r="AJ12" s="9"/>
    </row>
    <row r="13" spans="1:36" ht="18" customHeight="1">
      <c r="A13" s="14" t="s">
        <v>30</v>
      </c>
      <c r="B13" s="12" t="s">
        <v>28</v>
      </c>
      <c r="C13" s="9">
        <v>3.7823610000000001E-3</v>
      </c>
      <c r="D13" s="9">
        <v>2.7749866999999999E-3</v>
      </c>
      <c r="E13" s="9">
        <v>1.8014126000000001E-3</v>
      </c>
      <c r="F13" s="9">
        <v>8.7954750999999997E-4</v>
      </c>
      <c r="G13" s="9"/>
      <c r="H13" s="9">
        <v>3.3055663999999999E-3</v>
      </c>
      <c r="I13" s="9">
        <v>2.2898449E-3</v>
      </c>
      <c r="J13" s="9">
        <v>1.3337688E-3</v>
      </c>
      <c r="K13" s="9">
        <v>4.9668656000000002E-4</v>
      </c>
      <c r="L13" s="31"/>
      <c r="M13" s="9">
        <v>2.8756021000000001E-3</v>
      </c>
      <c r="N13" s="9">
        <v>1.9071838000000001E-3</v>
      </c>
      <c r="O13" s="9">
        <v>1.0336931000000001E-3</v>
      </c>
      <c r="P13" s="9">
        <v>3.4166076999999999E-4</v>
      </c>
      <c r="Q13" s="9"/>
      <c r="R13" s="9">
        <v>2.4927288999999999E-3</v>
      </c>
      <c r="S13" s="9">
        <v>1.6018079000000001E-3</v>
      </c>
      <c r="T13" s="9">
        <v>1.0336931000000001E-3</v>
      </c>
      <c r="U13" s="9">
        <v>2.801018E-4</v>
      </c>
      <c r="V13" s="30"/>
      <c r="W13" s="9">
        <v>2.1645437999999999E-3</v>
      </c>
      <c r="X13" s="9">
        <v>1.3669324000000001E-3</v>
      </c>
      <c r="Y13" s="9">
        <v>7.1461368999999996E-4</v>
      </c>
      <c r="Z13" s="9">
        <v>2.5582075000000001E-4</v>
      </c>
      <c r="AA13" s="30"/>
      <c r="AB13" s="9">
        <v>1.8774712E-3</v>
      </c>
      <c r="AC13" s="9"/>
      <c r="AD13" s="9"/>
      <c r="AE13" s="9"/>
      <c r="AF13" s="30"/>
      <c r="AG13" s="9"/>
      <c r="AH13" s="9"/>
      <c r="AI13" s="9"/>
      <c r="AJ13" s="9"/>
    </row>
    <row r="14" spans="1:36" ht="18" customHeight="1">
      <c r="A14" s="14" t="s">
        <v>32</v>
      </c>
      <c r="B14" s="12" t="s">
        <v>31</v>
      </c>
      <c r="C14" s="9">
        <v>4.9170764000000002E-4</v>
      </c>
      <c r="D14" s="9">
        <v>4.0511965000000001E-4</v>
      </c>
      <c r="E14" s="9">
        <v>3.0581725999999999E-4</v>
      </c>
      <c r="F14" s="9">
        <v>1.8921988E-4</v>
      </c>
      <c r="G14" s="9"/>
      <c r="H14" s="9">
        <v>7.6401954000000002E-4</v>
      </c>
      <c r="I14" s="9">
        <v>6.0293311000000004E-4</v>
      </c>
      <c r="J14" s="9">
        <v>4.2126065000000002E-4</v>
      </c>
      <c r="K14" s="9">
        <v>2.1712380999999999E-4</v>
      </c>
      <c r="L14" s="31"/>
      <c r="M14" s="9">
        <v>1.1521172999999999E-3</v>
      </c>
      <c r="N14" s="9">
        <v>8.9331413999999996E-4</v>
      </c>
      <c r="O14" s="9">
        <v>6.0245426000000003E-4</v>
      </c>
      <c r="P14" s="9">
        <v>2.9333967999999998E-4</v>
      </c>
      <c r="Q14" s="9"/>
      <c r="R14" s="9">
        <v>1.6517312000000001E-3</v>
      </c>
      <c r="S14" s="9">
        <v>1.2743459E-3</v>
      </c>
      <c r="T14" s="9">
        <v>6.0245426000000003E-4</v>
      </c>
      <c r="U14" s="9">
        <v>4.3115101000000002E-4</v>
      </c>
      <c r="V14" s="30"/>
      <c r="W14" s="9">
        <v>2.2610552000000002E-3</v>
      </c>
      <c r="X14" s="9">
        <v>1.7586472E-3</v>
      </c>
      <c r="Y14" s="9">
        <v>1.2041465999999999E-3</v>
      </c>
      <c r="Z14" s="9">
        <v>6.5174147999999999E-4</v>
      </c>
      <c r="AA14" s="30"/>
      <c r="AB14" s="9">
        <v>2.9545180000000002E-3</v>
      </c>
      <c r="AC14" s="9"/>
      <c r="AD14" s="9"/>
      <c r="AE14" s="9"/>
      <c r="AF14" s="30"/>
      <c r="AG14" s="9"/>
      <c r="AH14" s="9"/>
      <c r="AI14" s="9"/>
      <c r="AJ14" s="9"/>
    </row>
    <row r="15" spans="1:36" ht="18" customHeight="1">
      <c r="A15" s="14" t="s">
        <v>34</v>
      </c>
      <c r="B15" s="12" t="s">
        <v>33</v>
      </c>
      <c r="C15" s="9">
        <v>1.9435705999999999E-3</v>
      </c>
      <c r="D15" s="9">
        <v>2.0449070999999999E-3</v>
      </c>
      <c r="E15" s="9">
        <v>2.0913577000000001E-3</v>
      </c>
      <c r="F15" s="9">
        <v>2.0516852999999998E-3</v>
      </c>
      <c r="G15" s="9"/>
      <c r="H15" s="9">
        <v>2.6248477999999999E-3</v>
      </c>
      <c r="I15" s="9">
        <v>2.8173771999999999E-3</v>
      </c>
      <c r="J15" s="9">
        <v>2.9112018999999999E-3</v>
      </c>
      <c r="K15" s="9">
        <v>2.7895033000000001E-3</v>
      </c>
      <c r="L15" s="31"/>
      <c r="M15" s="9">
        <v>3.0966787000000001E-3</v>
      </c>
      <c r="N15" s="9">
        <v>3.2923185E-3</v>
      </c>
      <c r="O15" s="9">
        <v>3.3301596999999999E-3</v>
      </c>
      <c r="P15" s="9">
        <v>3.0233389999999999E-3</v>
      </c>
      <c r="Q15" s="9"/>
      <c r="R15" s="9">
        <v>3.3628111999999999E-3</v>
      </c>
      <c r="S15" s="9">
        <v>3.5220385000000001E-3</v>
      </c>
      <c r="T15" s="9">
        <v>3.3301596999999999E-3</v>
      </c>
      <c r="U15" s="9">
        <v>3.0086456000000001E-3</v>
      </c>
      <c r="V15" s="30"/>
      <c r="W15" s="9">
        <v>3.4098574000000002E-3</v>
      </c>
      <c r="X15" s="9">
        <v>3.5074883000000001E-3</v>
      </c>
      <c r="Y15" s="9">
        <v>3.3666261999999998E-3</v>
      </c>
      <c r="Z15" s="9">
        <v>2.8366172000000001E-3</v>
      </c>
      <c r="AA15" s="30"/>
      <c r="AB15" s="9">
        <v>3.2905398000000002E-3</v>
      </c>
      <c r="AC15" s="9"/>
      <c r="AD15" s="9"/>
      <c r="AE15" s="9"/>
      <c r="AF15" s="30"/>
      <c r="AG15" s="9"/>
      <c r="AH15" s="9"/>
      <c r="AI15" s="9"/>
      <c r="AJ15" s="9"/>
    </row>
    <row r="16" spans="1:36" ht="18" customHeight="1">
      <c r="A16" s="22"/>
      <c r="B16" s="12" t="s">
        <v>35</v>
      </c>
      <c r="C16" s="9">
        <v>2.1597045999999999E-3</v>
      </c>
      <c r="D16" s="9">
        <v>2.3881071E-3</v>
      </c>
      <c r="E16" s="9">
        <v>2.5875078E-3</v>
      </c>
      <c r="F16" s="9">
        <v>2.7643122000000002E-3</v>
      </c>
      <c r="G16" s="9"/>
      <c r="H16" s="9">
        <v>3.0591464000000001E-3</v>
      </c>
      <c r="I16" s="9">
        <v>3.5132559000000002E-3</v>
      </c>
      <c r="J16" s="9">
        <v>3.9360495999999998E-3</v>
      </c>
      <c r="K16" s="9">
        <v>4.3193264999999998E-3</v>
      </c>
      <c r="L16" s="31"/>
      <c r="M16" s="9">
        <v>3.792676E-3</v>
      </c>
      <c r="N16" s="9">
        <v>4.4252464999999996E-3</v>
      </c>
      <c r="O16" s="9">
        <v>5.0156491999999997E-3</v>
      </c>
      <c r="P16" s="9">
        <v>5.5332886999999997E-3</v>
      </c>
      <c r="Q16" s="9"/>
      <c r="R16" s="9">
        <v>4.3283460000000003E-3</v>
      </c>
      <c r="S16" s="9">
        <v>5.1353568E-3</v>
      </c>
      <c r="T16" s="9">
        <v>5.0156491999999997E-3</v>
      </c>
      <c r="U16" s="9">
        <v>6.5096709000000003E-3</v>
      </c>
      <c r="V16" s="30"/>
      <c r="W16" s="9">
        <v>4.5797010999999999E-3</v>
      </c>
      <c r="X16" s="9">
        <v>5.5397850000000002E-3</v>
      </c>
      <c r="Y16" s="9">
        <v>6.4224471999999996E-3</v>
      </c>
      <c r="Z16" s="9">
        <v>7.1695455E-3</v>
      </c>
      <c r="AA16" s="30"/>
      <c r="AB16" s="9">
        <v>4.5556017000000001E-3</v>
      </c>
      <c r="AC16" s="9"/>
      <c r="AD16" s="9"/>
      <c r="AE16" s="9"/>
      <c r="AF16" s="30"/>
      <c r="AG16" s="9"/>
      <c r="AH16" s="9"/>
      <c r="AI16" s="9"/>
      <c r="AJ16" s="9"/>
    </row>
    <row r="17" spans="1:36" ht="12.75" customHeight="1">
      <c r="A17" s="14"/>
      <c r="B17" s="12" t="s">
        <v>36</v>
      </c>
      <c r="C17" s="9">
        <v>9.2397547000000002E-4</v>
      </c>
      <c r="D17" s="9">
        <v>1.0915196E-3</v>
      </c>
      <c r="E17" s="9">
        <v>1.2981175000000001E-3</v>
      </c>
      <c r="F17" s="9">
        <v>1.6144737E-3</v>
      </c>
      <c r="G17" s="9"/>
      <c r="H17" s="9">
        <v>1.6326168E-3</v>
      </c>
      <c r="I17" s="9">
        <v>1.9946904000000001E-3</v>
      </c>
      <c r="J17" s="9">
        <v>2.4709558999999998E-3</v>
      </c>
      <c r="K17" s="9">
        <v>3.2767703000000001E-3</v>
      </c>
      <c r="L17" s="31"/>
      <c r="M17" s="9">
        <v>2.5441118999999998E-3</v>
      </c>
      <c r="N17" s="9">
        <v>3.1591700000000002E-3</v>
      </c>
      <c r="O17" s="9">
        <v>3.9734332000000002E-3</v>
      </c>
      <c r="P17" s="9">
        <v>5.3132392000000001E-3</v>
      </c>
      <c r="Q17" s="9"/>
      <c r="R17" s="9">
        <v>3.5828008E-3</v>
      </c>
      <c r="S17" s="9">
        <v>4.5009825000000003E-3</v>
      </c>
      <c r="T17" s="9">
        <v>3.9734332000000002E-3</v>
      </c>
      <c r="U17" s="9">
        <v>7.4332015999999997E-3</v>
      </c>
      <c r="V17" s="30"/>
      <c r="W17" s="9">
        <v>4.6007427000000004E-3</v>
      </c>
      <c r="X17" s="9">
        <v>5.8232405999999997E-3</v>
      </c>
      <c r="Y17" s="9">
        <v>7.3157887E-3</v>
      </c>
      <c r="Z17" s="9">
        <v>9.3175982000000008E-3</v>
      </c>
      <c r="AA17" s="30"/>
      <c r="AB17" s="9">
        <v>5.4846417E-3</v>
      </c>
      <c r="AC17" s="9"/>
      <c r="AD17" s="9"/>
      <c r="AE17" s="9"/>
      <c r="AF17" s="30"/>
      <c r="AG17" s="9"/>
      <c r="AH17" s="9"/>
      <c r="AI17" s="9"/>
      <c r="AJ17" s="9"/>
    </row>
    <row r="18" spans="1:36" ht="12.75" customHeight="1">
      <c r="A18" s="33" t="s">
        <v>57</v>
      </c>
      <c r="B18" s="34" t="s">
        <v>58</v>
      </c>
      <c r="C18" s="35">
        <f>SUM(C12:C17)</f>
        <v>1.2867546309999998E-2</v>
      </c>
      <c r="D18" s="35">
        <f>SUM(D12:D17)</f>
        <v>1.3136426849999999E-2</v>
      </c>
      <c r="E18" s="35">
        <f>SUM(E12:E17)</f>
        <v>1.3389475359999998E-2</v>
      </c>
      <c r="F18" s="35">
        <f>SUM(F12:F17)</f>
        <v>1.3666159190000002E-2</v>
      </c>
      <c r="G18" s="35"/>
      <c r="H18" s="35">
        <f>SUM(H12:H17)</f>
        <v>1.425746474E-2</v>
      </c>
      <c r="I18" s="35">
        <f>SUM(I12:I17)</f>
        <v>1.4812067810000001E-2</v>
      </c>
      <c r="J18" s="35">
        <f>SUM(J12:J17)</f>
        <v>1.5382158050000001E-2</v>
      </c>
      <c r="K18" s="35">
        <f>SUM(K12:K17)</f>
        <v>1.606627377E-2</v>
      </c>
      <c r="L18" s="31"/>
      <c r="M18" s="35">
        <f>SUM(M12:M17)</f>
        <v>1.5640790799999998E-2</v>
      </c>
      <c r="N18" s="35">
        <f>SUM(N12:N17)</f>
        <v>1.6451488739999999E-2</v>
      </c>
      <c r="O18" s="35">
        <f>SUM(O12:O17)</f>
        <v>1.7303593060000001E-2</v>
      </c>
      <c r="P18" s="35">
        <f>SUM(P12:P17)</f>
        <v>1.833657835E-2</v>
      </c>
      <c r="Q18" s="35"/>
      <c r="R18" s="35">
        <f>SUM(R12:R17)</f>
        <v>1.6945612200000001E-2</v>
      </c>
      <c r="S18" s="35">
        <f>SUM(S12:S17)</f>
        <v>1.8023021199999999E-2</v>
      </c>
      <c r="T18" s="35">
        <f>SUM(T12:T17)</f>
        <v>1.7303593060000001E-2</v>
      </c>
      <c r="U18" s="35">
        <f>SUM(U12:U17)</f>
        <v>2.0441847409999998E-2</v>
      </c>
      <c r="V18" s="30"/>
      <c r="W18" s="35">
        <f>SUM(W12:W17)</f>
        <v>1.8010600240000001E-2</v>
      </c>
      <c r="X18" s="35">
        <f>SUM(X12:X17)</f>
        <v>1.9330729200000001E-2</v>
      </c>
      <c r="Y18" s="35">
        <f>SUM(Y12:Y17)</f>
        <v>2.068241509E-2</v>
      </c>
      <c r="Z18" s="35">
        <f>SUM(Z12:Z17)</f>
        <v>2.215421553E-2</v>
      </c>
      <c r="AA18" s="30"/>
      <c r="AB18" s="35">
        <f>SUM(AB12:AB17)</f>
        <v>1.8775181750000002E-2</v>
      </c>
      <c r="AC18" s="35"/>
      <c r="AD18" s="35"/>
      <c r="AE18" s="35"/>
      <c r="AF18" s="30"/>
      <c r="AG18" s="35"/>
      <c r="AH18" s="35"/>
      <c r="AI18" s="35"/>
      <c r="AJ18" s="35"/>
    </row>
    <row r="19" spans="1:36" ht="12.75" customHeight="1">
      <c r="B19" s="18"/>
      <c r="C19" s="35"/>
      <c r="D19" s="35"/>
      <c r="E19" s="35"/>
      <c r="F19" s="35"/>
      <c r="G19" s="35"/>
      <c r="H19" s="35"/>
      <c r="I19" s="35"/>
      <c r="J19" s="35"/>
      <c r="K19" s="35"/>
      <c r="L19" s="31"/>
      <c r="M19" s="35"/>
      <c r="N19" s="35"/>
      <c r="O19" s="35"/>
      <c r="P19" s="35"/>
      <c r="Q19" s="35"/>
      <c r="R19" s="35"/>
      <c r="S19" s="35"/>
      <c r="T19" s="35"/>
      <c r="U19" s="35"/>
      <c r="V19" s="30"/>
      <c r="W19" s="35"/>
      <c r="X19" s="35"/>
      <c r="Y19" s="35"/>
      <c r="Z19" s="35"/>
      <c r="AA19" s="30"/>
      <c r="AB19" s="31"/>
      <c r="AC19" s="35"/>
      <c r="AD19" s="35"/>
      <c r="AE19" s="35"/>
      <c r="AF19" s="30"/>
      <c r="AG19" s="35"/>
      <c r="AH19" s="35"/>
      <c r="AI19" s="35"/>
      <c r="AJ19" s="35"/>
    </row>
    <row r="20" spans="1:36" ht="12.75" customHeight="1">
      <c r="A20" s="11" t="s">
        <v>27</v>
      </c>
      <c r="B20" t="s">
        <v>59</v>
      </c>
      <c r="C20" s="10">
        <v>4.6436600000000002E-7</v>
      </c>
      <c r="D20" s="43">
        <v>4.9689599999999995E-7</v>
      </c>
      <c r="E20" s="10">
        <v>5.2155599999999996E-7</v>
      </c>
      <c r="F20" s="10">
        <v>5.3128500000000001E-7</v>
      </c>
      <c r="G20" s="10"/>
      <c r="H20" s="10">
        <v>6.8602699999999998E-7</v>
      </c>
      <c r="I20" s="43">
        <v>7.4937500000000002E-7</v>
      </c>
      <c r="J20" s="10">
        <v>7.9640800000000002E-7</v>
      </c>
      <c r="K20" s="10">
        <v>7.7632999999999996E-7</v>
      </c>
      <c r="L20" s="31"/>
      <c r="M20" s="10">
        <v>6.5580300000000001E-7</v>
      </c>
      <c r="N20" s="10">
        <v>5.1320900000000005E-7</v>
      </c>
      <c r="O20" s="10">
        <v>3.5307400000000002E-8</v>
      </c>
      <c r="P20" s="10">
        <v>5.3415E-7</v>
      </c>
      <c r="Q20" s="10"/>
      <c r="R20" s="10">
        <v>1.8061E-6</v>
      </c>
      <c r="S20" s="10">
        <v>1.7588800000000001E-6</v>
      </c>
      <c r="T20" s="10">
        <v>3.5307400000000002E-8</v>
      </c>
      <c r="U20" s="10">
        <v>1.1636899999999999E-6</v>
      </c>
      <c r="V20" s="30"/>
      <c r="W20" s="10">
        <v>3.15269E-6</v>
      </c>
      <c r="X20" s="10">
        <v>3.3121999999999998E-6</v>
      </c>
      <c r="Y20" s="10">
        <v>3.1905499999999999E-6</v>
      </c>
      <c r="Z20" s="10">
        <v>2.54846E-6</v>
      </c>
      <c r="AA20" s="30"/>
      <c r="AB20" s="10">
        <v>4.3037099999999998E-6</v>
      </c>
      <c r="AC20" s="31"/>
      <c r="AD20" s="31"/>
      <c r="AE20" s="31"/>
      <c r="AF20" s="30"/>
      <c r="AG20" s="10"/>
      <c r="AH20" s="10"/>
      <c r="AI20" s="10"/>
      <c r="AJ20" s="10"/>
    </row>
    <row r="21" spans="1:36" ht="12.75" customHeight="1">
      <c r="A21" s="14"/>
      <c r="B21" s="9" t="s">
        <v>38</v>
      </c>
      <c r="C21" s="30"/>
      <c r="D21" s="44"/>
      <c r="E21" s="30"/>
      <c r="F21" s="30"/>
      <c r="G21" s="30"/>
      <c r="H21" s="30"/>
      <c r="I21" s="44"/>
      <c r="J21" s="30"/>
      <c r="K21" s="30"/>
      <c r="L21" s="31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ht="12.75" customHeight="1">
      <c r="A22" s="14" t="s">
        <v>30</v>
      </c>
      <c r="C22" s="30"/>
      <c r="D22" s="44"/>
      <c r="E22" s="30"/>
      <c r="F22" s="30"/>
      <c r="G22" s="30"/>
      <c r="H22" s="30"/>
      <c r="I22" s="44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ht="12.75" customHeight="1">
      <c r="A23" s="14"/>
      <c r="B23" t="s">
        <v>60</v>
      </c>
      <c r="C23" s="10">
        <v>1.21764E-6</v>
      </c>
      <c r="D23" s="43">
        <v>1.22501E-6</v>
      </c>
      <c r="E23" s="10">
        <v>1.19859E-6</v>
      </c>
      <c r="F23" s="10">
        <v>1.12045E-6</v>
      </c>
      <c r="G23" s="10"/>
      <c r="H23" s="10">
        <v>1.69443E-6</v>
      </c>
      <c r="I23" s="43">
        <v>1.7101599999999999E-6</v>
      </c>
      <c r="J23" s="10">
        <v>1.66623E-6</v>
      </c>
      <c r="K23" s="10">
        <v>1.5033099999999999E-6</v>
      </c>
      <c r="L23" s="30"/>
      <c r="M23" s="10">
        <v>2.1243999999999999E-6</v>
      </c>
      <c r="N23" s="10">
        <v>2.0928199999999998E-6</v>
      </c>
      <c r="O23" s="10">
        <v>1.96631E-6</v>
      </c>
      <c r="P23" s="10">
        <v>1.6583399999999999E-6</v>
      </c>
      <c r="Q23" s="10"/>
      <c r="R23" s="10">
        <v>2.5072700000000001E-6</v>
      </c>
      <c r="S23" s="10">
        <v>2.3981899999999999E-6</v>
      </c>
      <c r="T23" s="10">
        <v>1.96631E-6</v>
      </c>
      <c r="U23" s="10">
        <v>1.7199E-6</v>
      </c>
      <c r="V23" s="30"/>
      <c r="W23" s="10">
        <v>2.83546E-6</v>
      </c>
      <c r="X23" s="10">
        <v>2.6330699999999998E-6</v>
      </c>
      <c r="Y23" s="10">
        <v>2.2853899999999999E-6</v>
      </c>
      <c r="Z23" s="10">
        <v>1.74418E-6</v>
      </c>
      <c r="AA23" s="30"/>
      <c r="AB23" s="10">
        <v>3.1225300000000002E-6</v>
      </c>
      <c r="AC23" s="31"/>
      <c r="AD23" s="31"/>
      <c r="AE23" s="31"/>
      <c r="AF23" s="30"/>
      <c r="AG23" s="10"/>
      <c r="AH23" s="10"/>
      <c r="AI23" s="10"/>
      <c r="AJ23" s="10"/>
    </row>
    <row r="24" spans="1:36" ht="12.75" customHeight="1">
      <c r="A24" s="14" t="s">
        <v>40</v>
      </c>
      <c r="B24" s="9" t="s">
        <v>41</v>
      </c>
      <c r="C24" s="30"/>
      <c r="D24" s="44"/>
      <c r="E24" s="30"/>
      <c r="F24" s="30"/>
      <c r="G24" s="30"/>
      <c r="H24" s="30"/>
      <c r="I24" s="44"/>
      <c r="J24" s="30"/>
      <c r="K24" s="30"/>
      <c r="L24" s="30"/>
      <c r="M24" s="1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ht="12.75" customHeight="1">
      <c r="A25" s="14"/>
      <c r="C25" s="30"/>
      <c r="D25" s="44"/>
      <c r="E25" s="30"/>
      <c r="F25" s="30"/>
      <c r="G25" s="30"/>
      <c r="H25" s="30"/>
      <c r="I25" s="44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ht="12.75" customHeight="1">
      <c r="A26" s="14"/>
      <c r="B26" t="s">
        <v>61</v>
      </c>
      <c r="C26" s="10">
        <v>9.6940699999999997E-7</v>
      </c>
      <c r="D26" s="43">
        <v>1.0713199999999999E-6</v>
      </c>
      <c r="E26" s="10">
        <v>1.1731799999999999E-6</v>
      </c>
      <c r="F26" s="10">
        <v>1.3017899999999999E-6</v>
      </c>
      <c r="G26" s="10"/>
      <c r="H26" s="10">
        <v>1.44271E-6</v>
      </c>
      <c r="I26" s="43">
        <v>1.6566599999999999E-6</v>
      </c>
      <c r="J26" s="10">
        <v>1.8946700000000001E-6</v>
      </c>
      <c r="K26" s="10">
        <v>2.25681E-6</v>
      </c>
      <c r="L26" s="30"/>
      <c r="M26" s="10">
        <v>2.1645900000000001E-6</v>
      </c>
      <c r="N26" s="10">
        <v>2.7125299999999998E-6</v>
      </c>
      <c r="O26" s="10">
        <v>3.6164900000000002E-6</v>
      </c>
      <c r="P26" s="10">
        <v>3.6341399999999999E-6</v>
      </c>
      <c r="Q26" s="10"/>
      <c r="R26" s="10">
        <v>1.6667000000000001E-6</v>
      </c>
      <c r="S26" s="10">
        <v>2.2526299999999998E-6</v>
      </c>
      <c r="T26" s="10">
        <v>3.6164900000000002E-6</v>
      </c>
      <c r="U26" s="10">
        <v>4.0572400000000001E-6</v>
      </c>
      <c r="V26" s="30"/>
      <c r="W26" s="10">
        <v>8.5260999999999996E-7</v>
      </c>
      <c r="X26" s="10">
        <v>1.35316E-6</v>
      </c>
      <c r="Y26" s="10">
        <v>2.1506499999999999E-6</v>
      </c>
      <c r="Z26" s="10">
        <v>3.5286399999999998E-6</v>
      </c>
      <c r="AA26" s="30"/>
      <c r="AB26" s="10">
        <v>8.38828E-8</v>
      </c>
      <c r="AC26" s="31"/>
      <c r="AD26" s="31"/>
      <c r="AE26" s="31"/>
      <c r="AF26" s="30"/>
      <c r="AG26" s="10"/>
      <c r="AH26" s="10"/>
      <c r="AI26" s="10"/>
      <c r="AJ26" s="10"/>
    </row>
    <row r="27" spans="1:36" ht="12.75" customHeight="1">
      <c r="A27" s="14" t="s">
        <v>43</v>
      </c>
      <c r="B27" s="9" t="s">
        <v>44</v>
      </c>
    </row>
    <row r="28" spans="1:36" ht="12.75" customHeight="1">
      <c r="A28" s="22"/>
    </row>
    <row r="29" spans="1:36" ht="12.75" customHeight="1">
      <c r="A29" s="14">
        <v>1</v>
      </c>
      <c r="B29" s="12" t="s">
        <v>45</v>
      </c>
      <c r="C29" s="9">
        <v>28.6755</v>
      </c>
      <c r="D29" s="9">
        <v>26.136900000000001</v>
      </c>
      <c r="E29" s="9">
        <v>24.2105</v>
      </c>
      <c r="F29" s="9">
        <v>22.913499999999999</v>
      </c>
      <c r="G29" s="9"/>
      <c r="H29" s="9">
        <v>42.574599999999997</v>
      </c>
      <c r="I29" s="9">
        <v>40.1006</v>
      </c>
      <c r="J29" s="9">
        <v>38.444000000000003</v>
      </c>
      <c r="K29" s="9">
        <v>37.914200000000001</v>
      </c>
      <c r="M29" s="9">
        <v>56.407899999999998</v>
      </c>
      <c r="N29" s="9">
        <v>53.7624</v>
      </c>
      <c r="O29" s="9">
        <v>52.168500000000002</v>
      </c>
      <c r="P29" s="9">
        <v>52.1036</v>
      </c>
      <c r="Q29" s="9"/>
      <c r="R29" s="9">
        <v>69.456100000000006</v>
      </c>
      <c r="S29" s="9">
        <v>66.858500000000006</v>
      </c>
      <c r="T29" s="9">
        <v>52.168500000000002</v>
      </c>
      <c r="U29" s="9">
        <v>65.261499999999998</v>
      </c>
      <c r="W29" s="9">
        <v>80.105999999999995</v>
      </c>
      <c r="X29" s="9">
        <v>77.756100000000004</v>
      </c>
      <c r="Y29" s="9">
        <v>76.302999999999997</v>
      </c>
      <c r="Z29" s="9">
        <v>75.963800000000006</v>
      </c>
      <c r="AB29" s="9">
        <v>87.751800000000003</v>
      </c>
      <c r="AC29" s="9"/>
      <c r="AD29" s="9"/>
      <c r="AE29" s="9"/>
      <c r="AG29" s="9"/>
      <c r="AH29" s="9"/>
      <c r="AI29" s="9"/>
      <c r="AJ29" s="9"/>
    </row>
    <row r="30" spans="1:36" ht="12.75" customHeight="1">
      <c r="A30" s="23"/>
      <c r="B30" s="12" t="s">
        <v>46</v>
      </c>
      <c r="C30" s="9">
        <v>24.352799999999998</v>
      </c>
      <c r="D30" s="9">
        <v>30.625299999999999</v>
      </c>
      <c r="E30" s="9">
        <v>39.9529</v>
      </c>
      <c r="F30" s="9">
        <v>56.022599999999997</v>
      </c>
      <c r="G30" s="9"/>
      <c r="H30" s="9">
        <v>33.8887</v>
      </c>
      <c r="I30" s="9">
        <v>42.753900000000002</v>
      </c>
      <c r="J30" s="9">
        <v>55.540999999999997</v>
      </c>
      <c r="K30" s="9">
        <v>75.165700000000001</v>
      </c>
      <c r="M30" s="9">
        <v>42.488</v>
      </c>
      <c r="N30" s="9">
        <v>52.320399999999999</v>
      </c>
      <c r="O30" s="9">
        <v>65.543599999999998</v>
      </c>
      <c r="P30" s="9">
        <v>82.917000000000002</v>
      </c>
      <c r="Q30" s="9"/>
      <c r="R30" s="9">
        <v>50.145400000000002</v>
      </c>
      <c r="S30" s="9">
        <v>59.954799999999999</v>
      </c>
      <c r="T30" s="9">
        <v>65.543599999999998</v>
      </c>
      <c r="U30" s="9">
        <v>85.994900000000001</v>
      </c>
      <c r="W30" s="9">
        <v>56.709099999999999</v>
      </c>
      <c r="X30" s="9">
        <v>65.826700000000002</v>
      </c>
      <c r="Y30" s="9">
        <v>76.179500000000004</v>
      </c>
      <c r="Z30" s="9">
        <v>87.209000000000003</v>
      </c>
      <c r="AB30" s="9">
        <v>62.450600000000001</v>
      </c>
      <c r="AC30" s="9"/>
      <c r="AD30" s="9"/>
      <c r="AE30" s="9"/>
      <c r="AG30" s="9"/>
      <c r="AH30" s="9"/>
      <c r="AI30" s="9"/>
      <c r="AJ30" s="9"/>
    </row>
    <row r="31" spans="1:36" ht="12.75" customHeight="1">
      <c r="B31" s="12" t="s">
        <v>62</v>
      </c>
      <c r="C31" s="56">
        <f>C26/(C20+C26)</f>
        <v>0.67612306829602731</v>
      </c>
      <c r="D31" s="56">
        <f>D26/(D20+D26)</f>
        <v>0.68314568911425466</v>
      </c>
      <c r="E31" s="56">
        <f>E26/(E20+E26)</f>
        <v>0.69224941229784465</v>
      </c>
      <c r="F31" s="56">
        <f>F26/(F20+F26)</f>
        <v>0.71016734176179375</v>
      </c>
      <c r="G31" s="56"/>
      <c r="H31" s="56">
        <f>H26/(H20+H26)</f>
        <v>0.67773050405005408</v>
      </c>
      <c r="I31" s="56">
        <f>I26/(I20+I26)</f>
        <v>0.68854359973982093</v>
      </c>
      <c r="J31" s="56">
        <f>J26/(J20+J26)</f>
        <v>0.70405614404339079</v>
      </c>
      <c r="K31" s="56">
        <f>K26/(K20+K26)</f>
        <v>0.74405071971620163</v>
      </c>
      <c r="L31" s="56"/>
      <c r="M31" s="56">
        <f>M26/(M20+M26)</f>
        <v>0.76747814932174352</v>
      </c>
      <c r="N31" s="56">
        <f>N26/(N20+N26)</f>
        <v>0.84090188325837889</v>
      </c>
      <c r="O31" s="56">
        <f>O26/(O20+O26)</f>
        <v>0.99033150086584754</v>
      </c>
      <c r="P31" s="56">
        <f>P26/(P20+P26)</f>
        <v>0.87185392571054321</v>
      </c>
      <c r="Q31" s="56"/>
      <c r="R31" s="56">
        <f>R26/(R20+R26)</f>
        <v>0.47992973969131536</v>
      </c>
      <c r="S31" s="56">
        <f>S26/(S20+S26)</f>
        <v>0.56154166386223647</v>
      </c>
      <c r="T31" s="56">
        <f>T26/(T20+T26)</f>
        <v>0.99033150086584754</v>
      </c>
      <c r="U31" s="56">
        <f>U26/(U20+U26)</f>
        <v>0.77711059140804417</v>
      </c>
      <c r="V31" s="56"/>
      <c r="W31" s="56">
        <f>W26/(W20+W26)</f>
        <v>0.21287044665817789</v>
      </c>
      <c r="X31" s="56">
        <f>X26/(X20+X26)</f>
        <v>0.29004406948231221</v>
      </c>
      <c r="Y31" s="56">
        <f>Y26/(Y20+Y26)</f>
        <v>0.40265296188122518</v>
      </c>
      <c r="Z31" s="56">
        <f>Z26/(Z20+Z26)</f>
        <v>0.5806453736157049</v>
      </c>
      <c r="AA31" s="56"/>
      <c r="AB31" s="56">
        <f>AB26/(AB20+AB26)</f>
        <v>1.9118182525962757E-2</v>
      </c>
      <c r="AC31" s="56"/>
      <c r="AD31" s="56"/>
      <c r="AE31" s="56"/>
      <c r="AF31" s="56"/>
      <c r="AG31" s="56"/>
      <c r="AH31" s="56"/>
      <c r="AI31" s="56"/>
      <c r="AJ31" s="56"/>
    </row>
    <row r="32" spans="1:36" ht="12.75" customHeight="1">
      <c r="B32" s="12" t="s">
        <v>48</v>
      </c>
      <c r="C32" s="56">
        <f>C17/C14</f>
        <v>1.8791155451641954</v>
      </c>
      <c r="D32" s="56">
        <f>D17/D14</f>
        <v>2.6943141365766876</v>
      </c>
      <c r="E32" s="56">
        <f>E17/E14</f>
        <v>4.2447489719841194</v>
      </c>
      <c r="F32" s="56">
        <f>F17/F14</f>
        <v>8.5322625719876797</v>
      </c>
      <c r="G32" s="56"/>
      <c r="H32" s="56">
        <f>H17/H14</f>
        <v>2.1368783316719884</v>
      </c>
      <c r="I32" s="56">
        <f>I17/I14</f>
        <v>3.3083112652413464</v>
      </c>
      <c r="J32" s="56">
        <f>J17/J14</f>
        <v>5.8656223884191405</v>
      </c>
      <c r="K32" s="56">
        <f>K17/K14</f>
        <v>15.091713340881409</v>
      </c>
      <c r="L32" s="56"/>
      <c r="M32" s="56">
        <f>M17/M14</f>
        <v>2.2082056228128857</v>
      </c>
      <c r="N32" s="56">
        <f>N17/N14</f>
        <v>3.5364603094718734</v>
      </c>
      <c r="O32" s="56">
        <f>O17/O14</f>
        <v>6.5954105793857281</v>
      </c>
      <c r="P32" s="56">
        <f>P17/P14</f>
        <v>18.112923556744864</v>
      </c>
      <c r="Q32" s="56"/>
      <c r="R32" s="56">
        <f>R17/R14</f>
        <v>2.1691185587582287</v>
      </c>
      <c r="S32" s="56">
        <f>S17/S14</f>
        <v>3.5319943352899714</v>
      </c>
      <c r="T32" s="56">
        <f>T17/T14</f>
        <v>6.5954105793857281</v>
      </c>
      <c r="U32" s="56">
        <f>U17/U14</f>
        <v>17.240366896044147</v>
      </c>
      <c r="V32" s="56"/>
      <c r="W32" s="56">
        <f>W17/W14</f>
        <v>2.0347768157097623</v>
      </c>
      <c r="X32" s="56">
        <f>X17/X14</f>
        <v>3.3112045440381674</v>
      </c>
      <c r="Y32" s="56">
        <f>Y17/Y14</f>
        <v>6.0754967044710337</v>
      </c>
      <c r="Z32" s="56">
        <f>Z17/Z14</f>
        <v>14.296463376859181</v>
      </c>
      <c r="AA32" s="56"/>
      <c r="AB32" s="56">
        <f>AB17/AB14</f>
        <v>1.8563575175375475</v>
      </c>
      <c r="AC32" s="56"/>
      <c r="AD32" s="56"/>
      <c r="AE32" s="56"/>
      <c r="AF32" s="56"/>
      <c r="AG32" s="56"/>
      <c r="AH32" s="56"/>
      <c r="AI32" s="56"/>
      <c r="AJ32" s="56"/>
    </row>
    <row r="33" spans="3:24" ht="12.75" customHeight="1"/>
    <row r="34" spans="3:24" ht="12.75" customHeight="1"/>
    <row r="35" spans="3:24" ht="12.75" customHeight="1"/>
    <row r="36" spans="3:24" ht="12.75" customHeight="1"/>
    <row r="37" spans="3:24" ht="13">
      <c r="C37" s="9"/>
    </row>
    <row r="38" spans="3:24" ht="13">
      <c r="C38" s="9"/>
    </row>
    <row r="39" spans="3:24" ht="13">
      <c r="C39" s="9"/>
      <c r="X39" s="10"/>
    </row>
    <row r="40" spans="3:24" ht="13">
      <c r="C40" s="9"/>
      <c r="X40" s="10"/>
    </row>
    <row r="41" spans="3:24" ht="13">
      <c r="C41" s="9"/>
      <c r="X41" s="10"/>
    </row>
    <row r="42" spans="3:24" ht="13">
      <c r="C42" s="9"/>
    </row>
    <row r="44" spans="3:24" ht="13">
      <c r="C44" s="10"/>
    </row>
    <row r="45" spans="3:24" ht="13">
      <c r="C45" s="10"/>
    </row>
    <row r="46" spans="3:24" ht="13">
      <c r="C46" s="10"/>
    </row>
    <row r="49" spans="3:3" ht="13">
      <c r="C49" s="9">
        <v>28.6755</v>
      </c>
    </row>
    <row r="50" spans="3:3" ht="13">
      <c r="C50" s="9">
        <v>24.352799999999998</v>
      </c>
    </row>
  </sheetData>
  <pageMargins left="0.39374999999999999" right="0.39374999999999999" top="0.78749999999999998" bottom="0.78749999999999998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D2E1E-E4B0-4458-8719-F0ABF3F9DE00}">
  <dimension ref="A1:AJ62"/>
  <sheetViews>
    <sheetView topLeftCell="K1" zoomScale="70" zoomScaleNormal="70" workbookViewId="0">
      <selection activeCell="G38" sqref="G38"/>
    </sheetView>
  </sheetViews>
  <sheetFormatPr defaultRowHeight="12.5"/>
  <cols>
    <col min="1" max="1" width="17.36328125" style="41" customWidth="1"/>
    <col min="2" max="2" width="23.1796875" customWidth="1"/>
    <col min="33" max="33" width="11.6328125" customWidth="1"/>
  </cols>
  <sheetData>
    <row r="1" spans="1:36" ht="13">
      <c r="B1" s="12" t="s">
        <v>49</v>
      </c>
      <c r="C1" s="2" t="s">
        <v>6</v>
      </c>
      <c r="D1" s="2" t="s">
        <v>6</v>
      </c>
      <c r="E1" s="2" t="s">
        <v>6</v>
      </c>
      <c r="F1" s="2" t="s">
        <v>6</v>
      </c>
      <c r="G1" s="2"/>
      <c r="H1" s="2" t="s">
        <v>50</v>
      </c>
      <c r="I1" s="2" t="s">
        <v>50</v>
      </c>
      <c r="J1" s="2" t="s">
        <v>50</v>
      </c>
      <c r="K1" s="2" t="s">
        <v>50</v>
      </c>
      <c r="L1" s="2"/>
      <c r="M1" s="2" t="s">
        <v>8</v>
      </c>
      <c r="N1" s="2" t="s">
        <v>8</v>
      </c>
      <c r="O1" s="2" t="s">
        <v>8</v>
      </c>
      <c r="P1" s="2" t="s">
        <v>8</v>
      </c>
      <c r="Q1" s="2"/>
      <c r="R1" s="2" t="s">
        <v>9</v>
      </c>
      <c r="S1" s="2" t="s">
        <v>9</v>
      </c>
      <c r="T1" s="2" t="s">
        <v>9</v>
      </c>
      <c r="U1" s="2" t="s">
        <v>9</v>
      </c>
      <c r="V1" s="41"/>
      <c r="W1" s="2" t="s">
        <v>10</v>
      </c>
      <c r="X1" s="2" t="s">
        <v>10</v>
      </c>
      <c r="Y1" s="2" t="s">
        <v>10</v>
      </c>
      <c r="Z1" s="2" t="s">
        <v>10</v>
      </c>
      <c r="AA1" s="2"/>
      <c r="AB1" s="2" t="s">
        <v>11</v>
      </c>
      <c r="AC1" s="2" t="s">
        <v>11</v>
      </c>
      <c r="AD1" s="2" t="s">
        <v>11</v>
      </c>
      <c r="AE1" s="2" t="s">
        <v>11</v>
      </c>
      <c r="AF1" s="41"/>
      <c r="AG1" s="2" t="s">
        <v>12</v>
      </c>
      <c r="AH1" s="2" t="s">
        <v>12</v>
      </c>
      <c r="AI1" s="2" t="s">
        <v>12</v>
      </c>
      <c r="AJ1" s="2" t="s">
        <v>12</v>
      </c>
    </row>
    <row r="2" spans="1:36" ht="15.5">
      <c r="A2" s="12"/>
      <c r="B2" s="12" t="s">
        <v>22</v>
      </c>
      <c r="C2" s="41">
        <v>0.5</v>
      </c>
      <c r="D2" s="41">
        <v>0.6</v>
      </c>
      <c r="E2" s="41">
        <v>0.7</v>
      </c>
      <c r="F2" s="41">
        <v>0.8</v>
      </c>
      <c r="G2" s="41"/>
      <c r="H2" s="41">
        <v>0.5</v>
      </c>
      <c r="I2" s="41">
        <v>0.6</v>
      </c>
      <c r="J2" s="41">
        <v>0.7</v>
      </c>
      <c r="K2" s="41">
        <v>0.8</v>
      </c>
      <c r="L2" s="41"/>
      <c r="M2" s="41">
        <v>0.5</v>
      </c>
      <c r="N2" s="41">
        <v>0.6</v>
      </c>
      <c r="O2" s="41">
        <v>0.7</v>
      </c>
      <c r="P2" s="41">
        <v>0.8</v>
      </c>
      <c r="Q2" s="41"/>
      <c r="R2" s="41">
        <v>0.5</v>
      </c>
      <c r="S2" s="41">
        <v>0.6</v>
      </c>
      <c r="T2" s="41">
        <v>0.7</v>
      </c>
      <c r="U2" s="41">
        <v>0.8</v>
      </c>
      <c r="V2" s="41"/>
      <c r="W2" s="41">
        <v>0.5</v>
      </c>
      <c r="X2" s="41">
        <v>0.6</v>
      </c>
      <c r="Y2" s="41">
        <v>0.7</v>
      </c>
      <c r="Z2" s="41">
        <v>0.8</v>
      </c>
      <c r="AA2" s="41"/>
      <c r="AB2" s="41">
        <v>0.5</v>
      </c>
      <c r="AC2" s="41">
        <v>0.6</v>
      </c>
      <c r="AD2" s="41">
        <v>0.7</v>
      </c>
      <c r="AE2" s="41">
        <v>0.8</v>
      </c>
      <c r="AF2" s="41"/>
      <c r="AG2" s="41" t="e">
        <f>AG1/(1+AG1)</f>
        <v>#VALUE!</v>
      </c>
      <c r="AH2" s="41">
        <v>0.6</v>
      </c>
      <c r="AI2" s="41">
        <v>0.7</v>
      </c>
      <c r="AJ2" s="41">
        <v>0.8</v>
      </c>
    </row>
    <row r="3" spans="1:36" ht="15.5">
      <c r="A3" s="12"/>
      <c r="B3" s="12" t="s">
        <v>23</v>
      </c>
      <c r="C3" s="41">
        <v>0.5</v>
      </c>
      <c r="D3" s="41">
        <v>0.4</v>
      </c>
      <c r="E3" s="41">
        <v>0.3</v>
      </c>
      <c r="F3" s="41">
        <v>0.2</v>
      </c>
      <c r="G3" s="41"/>
      <c r="H3" s="41">
        <v>0.5</v>
      </c>
      <c r="I3" s="41">
        <v>0.4</v>
      </c>
      <c r="J3" s="41">
        <v>0.3</v>
      </c>
      <c r="K3" s="41">
        <v>0.2</v>
      </c>
      <c r="L3" s="41"/>
      <c r="M3" s="41">
        <v>0.5</v>
      </c>
      <c r="N3" s="41">
        <v>0.4</v>
      </c>
      <c r="O3" s="41">
        <v>0.3</v>
      </c>
      <c r="P3" s="41">
        <v>0.2</v>
      </c>
      <c r="Q3" s="41"/>
      <c r="R3" s="41">
        <v>0.5</v>
      </c>
      <c r="S3" s="41">
        <v>0.4</v>
      </c>
      <c r="T3" s="41">
        <v>0.3</v>
      </c>
      <c r="U3" s="41">
        <v>0.2</v>
      </c>
      <c r="V3" s="41"/>
      <c r="W3" s="41">
        <v>0.5</v>
      </c>
      <c r="X3" s="41">
        <v>0.4</v>
      </c>
      <c r="Y3" s="41">
        <v>0.3</v>
      </c>
      <c r="Z3" s="41">
        <v>0.2</v>
      </c>
      <c r="AA3" s="41"/>
      <c r="AB3" s="41">
        <v>0.5</v>
      </c>
      <c r="AC3" s="41">
        <v>0.4</v>
      </c>
      <c r="AD3" s="41">
        <v>0.3</v>
      </c>
      <c r="AE3" s="41">
        <v>0.2</v>
      </c>
      <c r="AF3" s="41"/>
      <c r="AG3" s="41" t="e">
        <f>1/(1+AG1)</f>
        <v>#VALUE!</v>
      </c>
      <c r="AH3" s="41">
        <v>0.4</v>
      </c>
      <c r="AI3" s="41">
        <v>0.3</v>
      </c>
      <c r="AJ3" s="41">
        <v>0.2</v>
      </c>
    </row>
    <row r="5" spans="1:36">
      <c r="A5" s="41" t="s">
        <v>63</v>
      </c>
    </row>
    <row r="7" spans="1:36" ht="13.5" customHeight="1"/>
    <row r="8" spans="1:36" ht="13">
      <c r="A8" s="41" t="s">
        <v>76</v>
      </c>
      <c r="B8" s="12" t="s">
        <v>49</v>
      </c>
      <c r="C8" s="2">
        <v>823</v>
      </c>
      <c r="D8" s="2">
        <v>873</v>
      </c>
      <c r="E8" s="2">
        <v>923</v>
      </c>
      <c r="F8" s="2">
        <v>973</v>
      </c>
      <c r="G8" s="2">
        <v>1023</v>
      </c>
      <c r="H8" s="2">
        <v>1073</v>
      </c>
      <c r="I8" s="2">
        <v>1123</v>
      </c>
      <c r="J8" s="41"/>
      <c r="L8" s="41" t="s">
        <v>76</v>
      </c>
      <c r="M8" s="41"/>
      <c r="N8" s="41"/>
      <c r="O8" s="41"/>
      <c r="P8" s="12" t="s">
        <v>49</v>
      </c>
      <c r="Q8" s="2">
        <v>823</v>
      </c>
      <c r="R8" s="2">
        <v>873</v>
      </c>
      <c r="S8" s="2">
        <v>923</v>
      </c>
      <c r="T8" s="2">
        <v>973</v>
      </c>
      <c r="U8" s="2">
        <v>1023</v>
      </c>
      <c r="V8" s="2">
        <v>1073</v>
      </c>
      <c r="W8" s="2">
        <v>1123</v>
      </c>
    </row>
    <row r="9" spans="1:36" ht="13">
      <c r="A9" s="41" t="s">
        <v>64</v>
      </c>
      <c r="B9" s="12" t="s">
        <v>80</v>
      </c>
      <c r="C9" s="37">
        <v>77.073099999999997</v>
      </c>
      <c r="D9" s="37">
        <v>89.210099999999997</v>
      </c>
      <c r="E9" s="37">
        <v>95.036600000000007</v>
      </c>
      <c r="F9" s="37">
        <v>97.747500000000002</v>
      </c>
      <c r="G9" s="37">
        <v>98.9529</v>
      </c>
      <c r="H9" s="37">
        <v>99.502399999999994</v>
      </c>
      <c r="I9" s="37">
        <v>99.769499999999994</v>
      </c>
      <c r="J9" s="38">
        <f>MEDIAN(C9:I9)</f>
        <v>97.747500000000002</v>
      </c>
      <c r="K9" s="20"/>
      <c r="L9" s="41" t="s">
        <v>64</v>
      </c>
      <c r="P9" s="12" t="s">
        <v>80</v>
      </c>
      <c r="Q9" s="37">
        <v>42.972299999999997</v>
      </c>
      <c r="R9" s="37">
        <v>48.739600000000003</v>
      </c>
      <c r="S9" s="37">
        <v>54.189100000000003</v>
      </c>
      <c r="T9" s="37">
        <v>60.4206</v>
      </c>
      <c r="U9" s="37">
        <v>67.262100000000004</v>
      </c>
      <c r="V9" s="37">
        <v>74.192800000000005</v>
      </c>
      <c r="W9" s="37">
        <v>79.9512</v>
      </c>
      <c r="X9" s="38">
        <f>MEDIAN(Q9:W9)</f>
        <v>60.4206</v>
      </c>
      <c r="Y9" s="20"/>
      <c r="Z9" s="20"/>
      <c r="AA9" s="41"/>
      <c r="AB9" s="50"/>
      <c r="AC9" s="20"/>
    </row>
    <row r="10" spans="1:36" ht="13">
      <c r="A10" s="41" t="s">
        <v>65</v>
      </c>
      <c r="B10" s="12" t="s">
        <v>81</v>
      </c>
      <c r="C10" s="20">
        <v>45.641199999999998</v>
      </c>
      <c r="D10" s="20">
        <v>62.709299999999999</v>
      </c>
      <c r="E10" s="20">
        <v>76.700900000000004</v>
      </c>
      <c r="F10" s="20">
        <v>86.685900000000004</v>
      </c>
      <c r="G10" s="20">
        <v>92.811599999999999</v>
      </c>
      <c r="H10" s="20">
        <v>96.220399999999998</v>
      </c>
      <c r="I10" s="37"/>
      <c r="J10" s="38">
        <f>MEDIAN(C10:H10)</f>
        <v>81.693399999999997</v>
      </c>
      <c r="K10" s="20"/>
      <c r="L10" s="41" t="s">
        <v>65</v>
      </c>
      <c r="P10" s="12" t="s">
        <v>81</v>
      </c>
      <c r="Q10" s="20">
        <v>32.988900000000001</v>
      </c>
      <c r="R10" s="20">
        <v>42.0792</v>
      </c>
      <c r="S10" s="20">
        <v>49.267899999999997</v>
      </c>
      <c r="T10" s="20">
        <v>55.417499999999997</v>
      </c>
      <c r="U10" s="20">
        <v>61.134399999999999</v>
      </c>
      <c r="V10" s="20">
        <v>66.644300000000001</v>
      </c>
      <c r="X10" s="38">
        <f>MEDIAN(Q10:V10)</f>
        <v>52.342699999999994</v>
      </c>
      <c r="Y10" s="20"/>
      <c r="Z10" s="20"/>
      <c r="AA10" s="41"/>
      <c r="AB10" s="50"/>
    </row>
    <row r="11" spans="1:36" ht="13">
      <c r="A11" s="41" t="s">
        <v>66</v>
      </c>
      <c r="B11" s="12" t="s">
        <v>82</v>
      </c>
      <c r="C11" s="20">
        <v>34.039000000000001</v>
      </c>
      <c r="D11" s="20">
        <v>49.362299999999998</v>
      </c>
      <c r="E11" s="20">
        <v>63.893900000000002</v>
      </c>
      <c r="F11" s="20">
        <v>76.454300000000003</v>
      </c>
      <c r="G11" s="20">
        <v>85.724699999999999</v>
      </c>
      <c r="H11" s="20">
        <v>91.756699999999995</v>
      </c>
      <c r="I11" s="37"/>
      <c r="J11" s="38">
        <f>MEDIAN(C11:H11)</f>
        <v>70.17410000000001</v>
      </c>
      <c r="K11" s="20"/>
      <c r="L11" s="41" t="s">
        <v>66</v>
      </c>
      <c r="P11" s="12" t="s">
        <v>82</v>
      </c>
      <c r="Q11" s="20">
        <v>27.3642</v>
      </c>
      <c r="R11" s="20">
        <v>36.990900000000003</v>
      </c>
      <c r="S11" s="20">
        <v>45.281399999999998</v>
      </c>
      <c r="T11" s="20">
        <v>52.3996</v>
      </c>
      <c r="U11" s="20">
        <v>58.539299999999997</v>
      </c>
      <c r="V11" s="20">
        <v>64.087000000000003</v>
      </c>
      <c r="W11" s="37"/>
      <c r="X11" s="38">
        <f>MEDIAN(Q11:V11)</f>
        <v>48.840499999999999</v>
      </c>
      <c r="Y11" s="20"/>
      <c r="Z11" s="20"/>
      <c r="AA11" s="41"/>
      <c r="AB11" s="50"/>
    </row>
    <row r="12" spans="1:36" s="41" customFormat="1" ht="13">
      <c r="A12" s="41" t="s">
        <v>67</v>
      </c>
      <c r="B12" s="12" t="s">
        <v>83</v>
      </c>
      <c r="C12" s="20">
        <v>28.6755</v>
      </c>
      <c r="D12" s="20">
        <v>42.574599999999997</v>
      </c>
      <c r="E12" s="20">
        <v>56.407899999999998</v>
      </c>
      <c r="F12" s="20">
        <v>69.456100000000006</v>
      </c>
      <c r="G12" s="20">
        <v>80.105999999999995</v>
      </c>
      <c r="H12" s="20">
        <v>87.751800000000003</v>
      </c>
      <c r="I12" s="37"/>
      <c r="J12" s="38">
        <f>MEDIAN(C12:H12)</f>
        <v>62.932000000000002</v>
      </c>
      <c r="K12" s="20"/>
      <c r="L12" s="41" t="s">
        <v>67</v>
      </c>
      <c r="M12"/>
      <c r="N12"/>
      <c r="O12"/>
      <c r="P12" s="12" t="s">
        <v>83</v>
      </c>
      <c r="Q12" s="20">
        <v>24.352799999999998</v>
      </c>
      <c r="R12" s="20">
        <v>33.8887</v>
      </c>
      <c r="S12" s="20">
        <v>42.488</v>
      </c>
      <c r="T12" s="20">
        <v>50.145400000000002</v>
      </c>
      <c r="U12" s="20">
        <v>56.709099999999999</v>
      </c>
      <c r="V12" s="20">
        <v>62.450600000000001</v>
      </c>
      <c r="W12" s="37"/>
      <c r="X12" s="38">
        <f>MEDIAN(Q12:V12)</f>
        <v>46.316699999999997</v>
      </c>
      <c r="Y12" s="20"/>
      <c r="Z12" s="20"/>
      <c r="AB12" s="50"/>
    </row>
    <row r="13" spans="1:36" s="41" customFormat="1" ht="13">
      <c r="J13" s="20"/>
      <c r="K13" s="20"/>
      <c r="X13" s="20"/>
      <c r="Y13" s="20"/>
      <c r="Z13" s="20"/>
      <c r="AB13" s="50"/>
    </row>
    <row r="14" spans="1:36" ht="13">
      <c r="A14" s="41" t="s">
        <v>77</v>
      </c>
      <c r="B14" s="12" t="s">
        <v>49</v>
      </c>
      <c r="C14" s="2">
        <v>823</v>
      </c>
      <c r="D14" s="2">
        <v>873</v>
      </c>
      <c r="E14" s="2">
        <v>923</v>
      </c>
      <c r="F14" s="2">
        <v>973</v>
      </c>
      <c r="G14" s="2">
        <v>1023</v>
      </c>
      <c r="H14" s="2">
        <v>1073</v>
      </c>
      <c r="I14" s="2">
        <v>1123</v>
      </c>
      <c r="L14" s="41" t="s">
        <v>77</v>
      </c>
      <c r="M14" s="41"/>
      <c r="N14" s="41"/>
      <c r="P14" s="12" t="s">
        <v>49</v>
      </c>
      <c r="Q14" s="2">
        <v>823</v>
      </c>
      <c r="R14" s="2">
        <v>873</v>
      </c>
      <c r="S14" s="2">
        <v>923</v>
      </c>
      <c r="T14" s="2">
        <v>973</v>
      </c>
      <c r="U14" s="2">
        <v>1023</v>
      </c>
      <c r="V14" s="2">
        <v>1073</v>
      </c>
      <c r="W14" s="2">
        <v>1123</v>
      </c>
    </row>
    <row r="15" spans="1:36" ht="15.5">
      <c r="A15" s="41" t="s">
        <v>64</v>
      </c>
      <c r="B15" s="12" t="s">
        <v>68</v>
      </c>
      <c r="C15" s="37">
        <v>75.015100000000004</v>
      </c>
      <c r="D15" s="37">
        <v>88.054500000000004</v>
      </c>
      <c r="E15" s="37">
        <v>94.259200000000007</v>
      </c>
      <c r="F15" s="37">
        <v>97.254000000000005</v>
      </c>
      <c r="G15" s="37">
        <v>98.652600000000007</v>
      </c>
      <c r="H15" s="37">
        <v>99.316000000000003</v>
      </c>
      <c r="I15" s="37">
        <v>99.6511</v>
      </c>
      <c r="J15" s="38">
        <f>MEDIAN(C15:I15)</f>
        <v>97.254000000000005</v>
      </c>
      <c r="L15" s="41" t="s">
        <v>64</v>
      </c>
      <c r="P15" s="12" t="s">
        <v>72</v>
      </c>
      <c r="Q15" s="37">
        <v>52.818399999999997</v>
      </c>
      <c r="R15" s="37">
        <v>58.098100000000002</v>
      </c>
      <c r="S15" s="37">
        <v>62.4465</v>
      </c>
      <c r="T15" s="37">
        <v>67.8476</v>
      </c>
      <c r="U15" s="37">
        <v>74.064499999999995</v>
      </c>
      <c r="V15" s="37">
        <v>80.537300000000002</v>
      </c>
      <c r="W15" s="37">
        <v>86.165800000000004</v>
      </c>
      <c r="X15" s="38">
        <f>MEDIAN(Q15:W15)</f>
        <v>67.8476</v>
      </c>
    </row>
    <row r="16" spans="1:36" ht="15.5">
      <c r="A16" s="41" t="s">
        <v>65</v>
      </c>
      <c r="B16" s="12" t="s">
        <v>69</v>
      </c>
      <c r="C16" s="20">
        <v>42.683100000000003</v>
      </c>
      <c r="D16" s="20">
        <v>60.317700000000002</v>
      </c>
      <c r="E16" s="20">
        <v>74.564700000000002</v>
      </c>
      <c r="F16" s="20">
        <v>84.942099999999996</v>
      </c>
      <c r="G16" s="20">
        <v>91.492999999999995</v>
      </c>
      <c r="H16" s="20">
        <v>95.280100000000004</v>
      </c>
      <c r="I16" s="37"/>
      <c r="J16" s="38">
        <f>MEDIAN(C16:H16)</f>
        <v>79.753399999999999</v>
      </c>
      <c r="K16" s="2"/>
      <c r="L16" s="41" t="s">
        <v>65</v>
      </c>
      <c r="P16" s="12" t="s">
        <v>73</v>
      </c>
      <c r="Q16" s="20">
        <v>41.423900000000003</v>
      </c>
      <c r="R16" s="20">
        <v>52.1004</v>
      </c>
      <c r="S16" s="20">
        <v>59.017299999999999</v>
      </c>
      <c r="T16" s="20">
        <v>64.299700000000001</v>
      </c>
      <c r="U16" s="20">
        <v>69.077100000000002</v>
      </c>
      <c r="V16" s="20">
        <v>73.8142</v>
      </c>
      <c r="W16" s="41"/>
      <c r="X16" s="38">
        <f>MEDIAN(Q16:V16)</f>
        <v>61.658500000000004</v>
      </c>
      <c r="Y16" s="2"/>
      <c r="Z16" s="2"/>
      <c r="AA16" s="2"/>
    </row>
    <row r="17" spans="1:27" ht="15.5">
      <c r="A17" s="41" t="s">
        <v>66</v>
      </c>
      <c r="B17" s="12" t="s">
        <v>71</v>
      </c>
      <c r="C17" s="20">
        <v>31.2818</v>
      </c>
      <c r="D17" s="20">
        <v>46.813800000000001</v>
      </c>
      <c r="E17" s="20">
        <v>61.3187</v>
      </c>
      <c r="F17" s="20">
        <v>74.087699999999998</v>
      </c>
      <c r="G17" s="20">
        <v>83.721999999999994</v>
      </c>
      <c r="H17" s="37"/>
      <c r="I17" s="37"/>
      <c r="J17" s="38">
        <f>MEDIAN(C17:G17)</f>
        <v>61.3187</v>
      </c>
      <c r="K17" s="37"/>
      <c r="L17" s="41" t="s">
        <v>66</v>
      </c>
      <c r="P17" s="12" t="s">
        <v>74</v>
      </c>
      <c r="Q17" s="20">
        <v>34.399799999999999</v>
      </c>
      <c r="R17" s="20">
        <v>46.365499999999997</v>
      </c>
      <c r="S17" s="20">
        <v>55.192500000000003</v>
      </c>
      <c r="T17" s="20">
        <v>61.914400000000001</v>
      </c>
      <c r="U17" s="20">
        <v>67.194500000000005</v>
      </c>
      <c r="V17" s="37"/>
      <c r="W17" s="37"/>
      <c r="X17" s="38">
        <f>MEDIAN(Q17:U17)</f>
        <v>55.192500000000003</v>
      </c>
      <c r="AA17" s="37"/>
    </row>
    <row r="18" spans="1:27" ht="15.5">
      <c r="A18" s="41" t="s">
        <v>67</v>
      </c>
      <c r="B18" s="12" t="s">
        <v>70</v>
      </c>
      <c r="C18" s="20">
        <v>26.136900000000001</v>
      </c>
      <c r="D18" s="20">
        <v>40.1006</v>
      </c>
      <c r="E18" s="20">
        <v>53.7624</v>
      </c>
      <c r="F18" s="20">
        <v>66.858500000000006</v>
      </c>
      <c r="G18" s="20">
        <v>77.756100000000004</v>
      </c>
      <c r="H18" s="37"/>
      <c r="I18" s="41"/>
      <c r="J18" s="38">
        <f>MEDIAN(C18:G18)</f>
        <v>53.7624</v>
      </c>
      <c r="L18" s="41" t="s">
        <v>67</v>
      </c>
      <c r="P18" s="12" t="s">
        <v>75</v>
      </c>
      <c r="Q18" s="20">
        <v>30.625299999999999</v>
      </c>
      <c r="R18" s="20">
        <v>42.753900000000002</v>
      </c>
      <c r="S18" s="20">
        <v>52.320399999999999</v>
      </c>
      <c r="T18" s="20">
        <v>59.954799999999999</v>
      </c>
      <c r="U18" s="20">
        <v>65.826700000000002</v>
      </c>
      <c r="V18" s="37"/>
      <c r="W18" s="41"/>
      <c r="X18" s="38">
        <f>MEDIAN(Q18:U18)</f>
        <v>52.320399999999999</v>
      </c>
    </row>
    <row r="19" spans="1:27"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</row>
    <row r="20" spans="1:27" ht="13">
      <c r="A20" s="41" t="s">
        <v>78</v>
      </c>
      <c r="B20" s="12" t="s">
        <v>49</v>
      </c>
      <c r="C20" s="2">
        <v>823</v>
      </c>
      <c r="D20" s="2">
        <v>873</v>
      </c>
      <c r="E20" s="2">
        <v>923</v>
      </c>
      <c r="F20" s="2">
        <v>973</v>
      </c>
      <c r="G20" s="2">
        <v>1023</v>
      </c>
      <c r="H20" s="2">
        <v>1073</v>
      </c>
      <c r="I20" s="2">
        <v>1123</v>
      </c>
      <c r="L20" s="41" t="s">
        <v>78</v>
      </c>
      <c r="M20" s="41"/>
      <c r="N20" s="41"/>
      <c r="P20" s="12" t="s">
        <v>49</v>
      </c>
      <c r="Q20" s="2">
        <v>823</v>
      </c>
      <c r="R20" s="2">
        <v>873</v>
      </c>
      <c r="S20" s="2">
        <v>923</v>
      </c>
      <c r="T20" s="2">
        <v>973</v>
      </c>
      <c r="U20" s="2">
        <v>1023</v>
      </c>
      <c r="V20" s="2">
        <v>1073</v>
      </c>
      <c r="W20" s="2">
        <v>1123</v>
      </c>
    </row>
    <row r="21" spans="1:27" ht="15.5">
      <c r="A21" s="41" t="s">
        <v>64</v>
      </c>
      <c r="B21" s="12" t="s">
        <v>68</v>
      </c>
      <c r="C21" s="37">
        <v>73.760499999999993</v>
      </c>
      <c r="D21" s="37">
        <v>87.376999999999995</v>
      </c>
      <c r="E21" s="37">
        <v>93.710999999999999</v>
      </c>
      <c r="F21" s="37">
        <v>96.848200000000006</v>
      </c>
      <c r="G21" s="37">
        <f>(F21+H21)/2</f>
        <v>97.988249999999994</v>
      </c>
      <c r="H21" s="37">
        <v>99.128299999999996</v>
      </c>
      <c r="I21" s="37">
        <v>99.522000000000006</v>
      </c>
      <c r="J21" s="38">
        <f>MEDIAN(C21:I21)</f>
        <v>96.848200000000006</v>
      </c>
      <c r="L21" s="41" t="s">
        <v>64</v>
      </c>
      <c r="P21" s="12" t="s">
        <v>72</v>
      </c>
      <c r="Q21" s="37">
        <v>65.038300000000007</v>
      </c>
      <c r="R21" s="37">
        <v>69.021600000000007</v>
      </c>
      <c r="S21" s="37">
        <v>71.516000000000005</v>
      </c>
      <c r="T21" s="37">
        <v>75.479900000000001</v>
      </c>
      <c r="U21" s="37">
        <v>65.038300000000007</v>
      </c>
      <c r="V21" s="37">
        <v>86.206400000000002</v>
      </c>
      <c r="W21" s="37">
        <v>90.971500000000006</v>
      </c>
      <c r="X21" s="38">
        <f>MEDIAN(Q21:W21)</f>
        <v>71.516000000000005</v>
      </c>
    </row>
    <row r="22" spans="1:27" ht="15.5">
      <c r="A22" s="41" t="s">
        <v>65</v>
      </c>
      <c r="B22" s="12" t="s">
        <v>69</v>
      </c>
      <c r="C22" s="20">
        <v>40.561300000000003</v>
      </c>
      <c r="D22" s="20">
        <v>58.959899999999998</v>
      </c>
      <c r="E22" s="20">
        <v>73.339399999999998</v>
      </c>
      <c r="F22" s="20">
        <v>83.827399999999997</v>
      </c>
      <c r="G22" s="20">
        <v>90.539699999999996</v>
      </c>
      <c r="H22" s="41"/>
      <c r="I22" s="41"/>
      <c r="J22" s="38">
        <f>MEDIAN(C22:G22)</f>
        <v>73.339399999999998</v>
      </c>
      <c r="L22" s="41" t="s">
        <v>65</v>
      </c>
      <c r="P22" s="12" t="s">
        <v>73</v>
      </c>
      <c r="Q22" s="20">
        <v>53.328499999999998</v>
      </c>
      <c r="R22" s="20">
        <v>65.319400000000002</v>
      </c>
      <c r="S22" s="20">
        <v>70.805199999999999</v>
      </c>
      <c r="T22" s="20">
        <v>74.244699999999995</v>
      </c>
      <c r="U22" s="20">
        <v>77.361400000000003</v>
      </c>
      <c r="V22" s="37"/>
      <c r="W22" s="37"/>
      <c r="X22" s="38">
        <f>MEDIAN(Q22:U22)</f>
        <v>70.805199999999999</v>
      </c>
    </row>
    <row r="23" spans="1:27" ht="15.5">
      <c r="A23" s="41" t="s">
        <v>66</v>
      </c>
      <c r="B23" s="12" t="s">
        <v>71</v>
      </c>
      <c r="C23" s="20">
        <v>29.217099999999999</v>
      </c>
      <c r="D23" s="20">
        <v>45.1999</v>
      </c>
      <c r="E23" s="20">
        <v>59.813000000000002</v>
      </c>
      <c r="F23" s="20">
        <v>72.6738</v>
      </c>
      <c r="G23" s="20">
        <v>82.415899999999993</v>
      </c>
      <c r="H23" s="37"/>
      <c r="I23" s="41"/>
      <c r="J23" s="38">
        <f>MEDIAN(C23:G23)</f>
        <v>59.813000000000002</v>
      </c>
      <c r="L23" s="41" t="s">
        <v>66</v>
      </c>
      <c r="P23" s="12" t="s">
        <v>74</v>
      </c>
      <c r="Q23" s="20">
        <v>44.704099999999997</v>
      </c>
      <c r="R23" s="20">
        <v>59.511000000000003</v>
      </c>
      <c r="S23" s="20">
        <v>67.997699999999995</v>
      </c>
      <c r="T23" s="20">
        <v>73.188599999999994</v>
      </c>
      <c r="U23" s="20">
        <v>76.6828</v>
      </c>
      <c r="V23" s="41"/>
      <c r="W23" s="41"/>
      <c r="X23" s="38">
        <f>MEDIAN(Q23:U23)</f>
        <v>67.997699999999995</v>
      </c>
    </row>
    <row r="24" spans="1:27" ht="15.5">
      <c r="A24" s="41" t="s">
        <v>67</v>
      </c>
      <c r="B24" s="12" t="s">
        <v>70</v>
      </c>
      <c r="C24" s="20">
        <v>24.2105</v>
      </c>
      <c r="D24" s="20">
        <v>38.444000000000003</v>
      </c>
      <c r="E24" s="20">
        <v>52.168500000000002</v>
      </c>
      <c r="F24" s="20">
        <v>52.168500000000002</v>
      </c>
      <c r="G24" s="20">
        <v>76.302999999999997</v>
      </c>
      <c r="H24" s="37"/>
      <c r="I24" s="41"/>
      <c r="J24" s="38">
        <f>MEDIAN(C24:G24)</f>
        <v>52.168500000000002</v>
      </c>
      <c r="L24" s="41" t="s">
        <v>67</v>
      </c>
      <c r="P24" s="12" t="s">
        <v>75</v>
      </c>
      <c r="Q24" s="20">
        <v>39.9529</v>
      </c>
      <c r="R24" s="20">
        <v>55.540999999999997</v>
      </c>
      <c r="S24" s="20">
        <v>65.543599999999998</v>
      </c>
      <c r="T24" s="20">
        <v>65.543599999999998</v>
      </c>
      <c r="U24" s="20">
        <v>76.179500000000004</v>
      </c>
      <c r="V24" s="41"/>
      <c r="W24" s="41"/>
      <c r="X24" s="38">
        <f>MEDIAN(Q24:U24)</f>
        <v>65.543599999999998</v>
      </c>
    </row>
    <row r="25" spans="1:27"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</row>
    <row r="26" spans="1:27" ht="13">
      <c r="A26" s="41" t="s">
        <v>79</v>
      </c>
      <c r="B26" s="12" t="s">
        <v>49</v>
      </c>
      <c r="C26" s="2">
        <v>823</v>
      </c>
      <c r="D26" s="2">
        <v>873</v>
      </c>
      <c r="E26" s="2">
        <v>923</v>
      </c>
      <c r="F26" s="2">
        <v>973</v>
      </c>
      <c r="G26" s="2">
        <v>1023</v>
      </c>
      <c r="H26" s="2">
        <v>1073</v>
      </c>
      <c r="I26" s="2">
        <v>1123</v>
      </c>
      <c r="L26" s="41" t="s">
        <v>79</v>
      </c>
      <c r="M26" s="41"/>
      <c r="N26" s="41"/>
      <c r="P26" s="12" t="s">
        <v>49</v>
      </c>
      <c r="Q26" s="2">
        <v>823</v>
      </c>
      <c r="R26" s="2">
        <v>873</v>
      </c>
      <c r="S26" s="2">
        <v>923</v>
      </c>
      <c r="T26" s="2">
        <v>973</v>
      </c>
      <c r="U26" s="2">
        <v>1023</v>
      </c>
      <c r="V26" s="2">
        <v>1073</v>
      </c>
      <c r="W26" s="2">
        <v>1123</v>
      </c>
    </row>
    <row r="27" spans="1:27" ht="15.5">
      <c r="A27" s="41" t="s">
        <v>64</v>
      </c>
      <c r="B27" s="12" t="s">
        <v>68</v>
      </c>
      <c r="C27" s="20">
        <v>73.7042</v>
      </c>
      <c r="D27" s="37">
        <v>87.278800000000004</v>
      </c>
      <c r="E27" s="37">
        <v>93.423199999999994</v>
      </c>
      <c r="F27" s="37">
        <v>96.546599999999998</v>
      </c>
      <c r="G27" s="37">
        <v>98.126599999999996</v>
      </c>
      <c r="H27" s="37">
        <v>98.947000000000003</v>
      </c>
      <c r="I27" s="37">
        <v>99.382400000000004</v>
      </c>
      <c r="J27" s="38">
        <f>MEDIAN(C27:I27)</f>
        <v>96.546599999999998</v>
      </c>
      <c r="L27" s="41" t="s">
        <v>64</v>
      </c>
      <c r="M27" s="41"/>
      <c r="N27" s="41"/>
      <c r="O27" s="41"/>
      <c r="P27" s="12" t="s">
        <v>72</v>
      </c>
      <c r="Q27" s="20">
        <v>79.757999999999996</v>
      </c>
      <c r="R27" s="37">
        <v>81.358699999999999</v>
      </c>
      <c r="S27" s="37">
        <v>81.467200000000005</v>
      </c>
      <c r="T27" s="37">
        <v>83.469099999999997</v>
      </c>
      <c r="U27" s="37">
        <v>87.115200000000002</v>
      </c>
      <c r="V27" s="37">
        <v>91.409899999999993</v>
      </c>
      <c r="W27" s="37">
        <v>94.683400000000006</v>
      </c>
      <c r="X27" s="38">
        <f>MEDIAN(Q27:W27)</f>
        <v>83.469099999999997</v>
      </c>
    </row>
    <row r="28" spans="1:27" ht="15.5">
      <c r="A28" s="41" t="s">
        <v>65</v>
      </c>
      <c r="B28" s="12" t="s">
        <v>69</v>
      </c>
      <c r="C28" s="20">
        <v>39.612699999999997</v>
      </c>
      <c r="D28" s="20">
        <v>59.109699999999997</v>
      </c>
      <c r="E28" s="20">
        <v>73.305800000000005</v>
      </c>
      <c r="F28" s="20">
        <v>83.466899999999995</v>
      </c>
      <c r="G28" s="20">
        <v>90.010800000000003</v>
      </c>
      <c r="H28" s="37"/>
      <c r="I28" s="37"/>
      <c r="J28" s="38">
        <f>MEDIAN(C28:G28)</f>
        <v>73.305800000000005</v>
      </c>
      <c r="L28" s="41" t="s">
        <v>65</v>
      </c>
      <c r="P28" s="12" t="s">
        <v>73</v>
      </c>
      <c r="Q28" s="20">
        <v>71.511300000000006</v>
      </c>
      <c r="R28" s="20">
        <v>82.193100000000001</v>
      </c>
      <c r="S28" s="20">
        <v>84.279300000000006</v>
      </c>
      <c r="T28" s="20">
        <v>84.968800000000002</v>
      </c>
      <c r="U28" s="20">
        <v>85.919300000000007</v>
      </c>
      <c r="W28" s="37"/>
      <c r="X28" s="38">
        <f>MEDIAN(Q28:U28)</f>
        <v>84.279300000000006</v>
      </c>
    </row>
    <row r="29" spans="1:27" ht="15.5">
      <c r="A29" s="41" t="s">
        <v>66</v>
      </c>
      <c r="B29" s="12" t="s">
        <v>71</v>
      </c>
      <c r="C29" s="20">
        <v>27.945599999999999</v>
      </c>
      <c r="D29" s="20">
        <v>44.941299999999998</v>
      </c>
      <c r="E29" s="20">
        <v>59.826500000000003</v>
      </c>
      <c r="F29" s="20">
        <v>72.491200000000006</v>
      </c>
      <c r="G29" s="20">
        <v>81.943700000000007</v>
      </c>
      <c r="H29" s="41"/>
      <c r="I29" s="41"/>
      <c r="J29" s="38">
        <f>MEDIAN(C29:G29)</f>
        <v>59.826500000000003</v>
      </c>
      <c r="L29" s="41" t="s">
        <v>66</v>
      </c>
      <c r="P29" s="12" t="s">
        <v>74</v>
      </c>
      <c r="Q29" s="20">
        <v>61.874400000000001</v>
      </c>
      <c r="R29" s="20">
        <v>78.438299999999998</v>
      </c>
      <c r="S29" s="20">
        <v>83.825500000000005</v>
      </c>
      <c r="T29" s="20">
        <v>85.753699999999995</v>
      </c>
      <c r="U29" s="20">
        <v>86.650499999999994</v>
      </c>
      <c r="V29" s="37"/>
      <c r="W29" s="37"/>
      <c r="X29" s="38">
        <f>MEDIAN(Q29:U29)</f>
        <v>83.825500000000005</v>
      </c>
    </row>
    <row r="30" spans="1:27" s="41" customFormat="1" ht="15.5">
      <c r="A30" s="41" t="s">
        <v>67</v>
      </c>
      <c r="B30" s="12" t="s">
        <v>70</v>
      </c>
      <c r="C30" s="20">
        <v>22.913499999999999</v>
      </c>
      <c r="D30" s="20">
        <v>37.914200000000001</v>
      </c>
      <c r="E30" s="20">
        <v>52.1036</v>
      </c>
      <c r="F30" s="20">
        <v>65.261499999999998</v>
      </c>
      <c r="G30" s="20">
        <v>75.963800000000006</v>
      </c>
      <c r="H30"/>
      <c r="I30"/>
      <c r="J30" s="38">
        <f>MEDIAN(C30:G30)</f>
        <v>52.1036</v>
      </c>
      <c r="L30" s="41" t="s">
        <v>67</v>
      </c>
      <c r="P30" s="12" t="s">
        <v>75</v>
      </c>
      <c r="Q30" s="20">
        <v>56.022599999999997</v>
      </c>
      <c r="R30" s="20">
        <v>75.165700000000001</v>
      </c>
      <c r="S30" s="20">
        <v>82.917000000000002</v>
      </c>
      <c r="T30" s="20">
        <v>85.994900000000001</v>
      </c>
      <c r="U30" s="20">
        <v>87.209000000000003</v>
      </c>
      <c r="V30" s="37"/>
      <c r="W30" s="37"/>
      <c r="X30" s="38">
        <f>MEDIAN(Q30:U30)</f>
        <v>82.917000000000002</v>
      </c>
    </row>
    <row r="31" spans="1:27" s="41" customFormat="1"/>
    <row r="32" spans="1:27" s="41" customFormat="1"/>
    <row r="33" spans="24:24" s="41" customFormat="1"/>
    <row r="36" spans="24:24" s="41" customFormat="1"/>
    <row r="37" spans="24:24" s="41" customFormat="1"/>
    <row r="38" spans="24:24" s="41" customFormat="1"/>
    <row r="39" spans="24:24" s="41" customFormat="1"/>
    <row r="40" spans="24:24" s="41" customFormat="1">
      <c r="X40"/>
    </row>
    <row r="41" spans="24:24" s="41" customFormat="1" ht="13">
      <c r="X41" s="20"/>
    </row>
    <row r="42" spans="24:24" s="41" customFormat="1"/>
    <row r="43" spans="24:24" s="41" customFormat="1"/>
    <row r="44" spans="24:24" s="41" customFormat="1"/>
    <row r="45" spans="24:24" s="41" customFormat="1"/>
    <row r="46" spans="24:24" s="41" customFormat="1"/>
    <row r="47" spans="24:24" s="41" customFormat="1" ht="13">
      <c r="X47" s="20"/>
    </row>
    <row r="48" spans="24:24" s="41" customFormat="1"/>
    <row r="49" spans="2:36" s="41" customFormat="1"/>
    <row r="50" spans="2:36" s="41" customFormat="1"/>
    <row r="51" spans="2:36" s="41" customFormat="1"/>
    <row r="52" spans="2:36" s="41" customFormat="1"/>
    <row r="53" spans="2:36" s="41" customFormat="1"/>
    <row r="54" spans="2:36" s="41" customFormat="1" ht="13">
      <c r="B54" s="12"/>
      <c r="C54" s="20"/>
      <c r="D54" s="37"/>
      <c r="E54" s="37"/>
      <c r="F54" s="37"/>
      <c r="G54" s="37"/>
      <c r="H54" s="37"/>
      <c r="I54" s="37"/>
    </row>
    <row r="59" spans="2:36" ht="13">
      <c r="C59" s="57"/>
      <c r="D59" s="37"/>
      <c r="E59" s="37"/>
      <c r="F59" s="20"/>
      <c r="G59" s="20"/>
      <c r="H59" s="57"/>
      <c r="I59" s="37"/>
      <c r="J59" s="37"/>
      <c r="K59" s="37"/>
      <c r="L59" s="20"/>
      <c r="M59" s="57"/>
      <c r="N59" s="37"/>
      <c r="O59" s="37"/>
      <c r="P59" s="37"/>
      <c r="Q59" s="37"/>
      <c r="R59" s="57"/>
      <c r="S59" s="37"/>
      <c r="T59" s="37"/>
      <c r="U59" s="37"/>
      <c r="V59" s="38"/>
      <c r="W59" s="57"/>
      <c r="X59" s="37"/>
      <c r="Y59" s="37"/>
      <c r="Z59" s="37"/>
      <c r="AA59" s="37"/>
      <c r="AB59" s="57"/>
      <c r="AC59" s="37"/>
      <c r="AD59" s="37"/>
      <c r="AE59" s="37"/>
      <c r="AF59" s="38"/>
      <c r="AG59" s="37"/>
      <c r="AH59" s="37"/>
      <c r="AI59" s="37"/>
      <c r="AJ59" s="37"/>
    </row>
    <row r="60" spans="2:36" ht="13">
      <c r="C60" s="50"/>
      <c r="D60" s="20"/>
      <c r="E60" s="20"/>
      <c r="F60" s="20"/>
      <c r="G60" s="41"/>
      <c r="H60" s="50"/>
      <c r="I60" s="20"/>
      <c r="J60" s="20"/>
      <c r="K60" s="20"/>
      <c r="L60" s="41"/>
      <c r="M60" s="50"/>
      <c r="N60" s="20"/>
      <c r="O60" s="20"/>
      <c r="P60" s="20"/>
      <c r="Q60" s="41"/>
      <c r="R60" s="50"/>
      <c r="S60" s="20"/>
      <c r="T60" s="20"/>
      <c r="U60" s="20"/>
      <c r="V60" s="41"/>
      <c r="W60" s="50"/>
      <c r="X60" s="20"/>
      <c r="Y60" s="20"/>
      <c r="Z60" s="20"/>
      <c r="AA60" s="41"/>
      <c r="AB60" s="50"/>
      <c r="AC60" s="20"/>
    </row>
    <row r="61" spans="2:36" ht="13">
      <c r="C61" s="50"/>
      <c r="D61" s="20"/>
      <c r="E61" s="20"/>
      <c r="F61" s="20"/>
      <c r="G61" s="41"/>
      <c r="H61" s="50"/>
      <c r="I61" s="20"/>
      <c r="J61" s="20"/>
      <c r="K61" s="20"/>
      <c r="L61" s="41"/>
      <c r="M61" s="50"/>
      <c r="N61" s="20"/>
      <c r="O61" s="20"/>
      <c r="P61" s="20"/>
      <c r="Q61" s="41"/>
      <c r="R61" s="50"/>
      <c r="S61" s="20"/>
      <c r="T61" s="20"/>
      <c r="U61" s="20"/>
      <c r="V61" s="41"/>
      <c r="W61" s="50"/>
      <c r="X61" s="20"/>
      <c r="Y61" s="20"/>
      <c r="Z61" s="20"/>
      <c r="AA61" s="41"/>
      <c r="AB61" s="50"/>
    </row>
    <row r="62" spans="2:36" ht="13">
      <c r="C62" s="50"/>
      <c r="D62" s="20"/>
      <c r="E62" s="20"/>
      <c r="F62" s="20"/>
      <c r="G62" s="20"/>
      <c r="H62" s="50"/>
      <c r="I62" s="20"/>
      <c r="J62" s="20"/>
      <c r="K62" s="20"/>
      <c r="L62" s="41"/>
      <c r="M62" s="50"/>
      <c r="N62" s="20"/>
      <c r="O62" s="20"/>
      <c r="P62" s="20"/>
      <c r="Q62" s="20"/>
      <c r="R62" s="50"/>
      <c r="S62" s="20"/>
      <c r="T62" s="20"/>
      <c r="U62" s="20"/>
      <c r="V62" s="41"/>
      <c r="W62" s="50"/>
      <c r="X62" s="20"/>
      <c r="Y62" s="20"/>
      <c r="Z62" s="20"/>
      <c r="AA62" s="41"/>
      <c r="AB62" s="50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7D624-4908-4E1E-9C52-46C41C0954F6}">
  <dimension ref="A1"/>
  <sheetViews>
    <sheetView workbookViewId="0"/>
  </sheetViews>
  <sheetFormatPr defaultRowHeight="12.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C4B-0FCC-40FB-A1CF-B35E67BF803F}">
  <dimension ref="A1"/>
  <sheetViews>
    <sheetView workbookViewId="0">
      <selection activeCell="A16" sqref="A16"/>
    </sheetView>
  </sheetViews>
  <sheetFormatPr defaultRowHeight="12.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TEMPERATURA</vt:lpstr>
      <vt:lpstr>101325 Pa</vt:lpstr>
      <vt:lpstr>506625 Pa</vt:lpstr>
      <vt:lpstr>1013250 Pa</vt:lpstr>
      <vt:lpstr>1519875 Pa</vt:lpstr>
      <vt:lpstr>Grafico 1 LM</vt:lpstr>
      <vt:lpstr>Grafico 2 LM</vt:lpstr>
      <vt:lpstr>Grafico 3 LM</vt:lpstr>
      <vt:lpstr>'1519875 Pa'!Area_de_impressao</vt:lpstr>
      <vt:lpstr>TEMPERATURA!Area_de_impressao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Denys Haluli</cp:lastModifiedBy>
  <cp:revision>171</cp:revision>
  <cp:lastPrinted>2026-02-27T13:19:10Z</cp:lastPrinted>
  <dcterms:created xsi:type="dcterms:W3CDTF">2026-02-12T01:08:57Z</dcterms:created>
  <dcterms:modified xsi:type="dcterms:W3CDTF">2026-04-04T03:09:33Z</dcterms:modified>
  <dc:language>pt-BR</dc:language>
</cp:coreProperties>
</file>