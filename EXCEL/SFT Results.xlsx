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drawings/drawing4.xml" ContentType="application/vnd.openxmlformats-officedocument.drawing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denys\Dropbox\Pen\UPE PPGES POLI\8 DISSERTACAO\SOFTWARE E RESULTADOS\SFT\"/>
    </mc:Choice>
  </mc:AlternateContent>
  <xr:revisionPtr revIDLastSave="0" documentId="13_ncr:1_{6A52F8F4-1D30-4CB2-A623-08446B6F8E93}" xr6:coauthVersionLast="47" xr6:coauthVersionMax="47" xr10:uidLastSave="{00000000-0000-0000-0000-000000000000}"/>
  <bookViews>
    <workbookView xWindow="8010" yWindow="1770" windowWidth="46710" windowHeight="13635" tabRatio="500" activeTab="5" xr2:uid="{00000000-000D-0000-FFFF-FFFF00000000}"/>
  </bookViews>
  <sheets>
    <sheet name="SFT" sheetId="1" r:id="rId1"/>
    <sheet name="Massa Cat X Temp" sheetId="2" r:id="rId2"/>
    <sheet name="Massa Cat  x Pressao 543K_583K " sheetId="3" r:id="rId3"/>
    <sheet name="H2_CO_583K _25kg" sheetId="4" r:id="rId4"/>
    <sheet name=" 583K_25kg_30_40atm" sheetId="6" r:id="rId5"/>
    <sheet name=" 583K_25kg_30_40atm (2)" sheetId="7" r:id="rId6"/>
  </sheets>
  <definedNames>
    <definedName name="_xlnm.Print_Area" localSheetId="5">' 583K_25kg_30_40atm (2)'!$A$2:$P$53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M52" i="1" l="1"/>
  <c r="M51" i="1"/>
  <c r="M50" i="1"/>
  <c r="M49" i="1"/>
  <c r="M48" i="1"/>
  <c r="M47" i="1"/>
  <c r="M53" i="1" s="1"/>
  <c r="R52" i="1"/>
  <c r="R51" i="1"/>
  <c r="R50" i="1"/>
  <c r="R49" i="1"/>
  <c r="R48" i="1"/>
  <c r="R47" i="1"/>
  <c r="R53" i="1" s="1"/>
  <c r="P49" i="7"/>
  <c r="P48" i="7"/>
  <c r="P47" i="7"/>
  <c r="I49" i="7"/>
  <c r="I53" i="7" s="1"/>
  <c r="I48" i="7"/>
  <c r="I47" i="7"/>
  <c r="P52" i="7"/>
  <c r="P51" i="7"/>
  <c r="P50" i="7"/>
  <c r="O52" i="7"/>
  <c r="O51" i="7"/>
  <c r="O50" i="7"/>
  <c r="N52" i="7"/>
  <c r="N51" i="7"/>
  <c r="N50" i="7"/>
  <c r="M52" i="7"/>
  <c r="M51" i="7"/>
  <c r="M50" i="7"/>
  <c r="L52" i="7"/>
  <c r="L51" i="7"/>
  <c r="L50" i="7"/>
  <c r="K52" i="7"/>
  <c r="K51" i="7"/>
  <c r="K50" i="7"/>
  <c r="I52" i="7"/>
  <c r="I51" i="7"/>
  <c r="I50" i="7"/>
  <c r="H52" i="7"/>
  <c r="H51" i="7"/>
  <c r="H50" i="7"/>
  <c r="G52" i="7"/>
  <c r="G51" i="7"/>
  <c r="G50" i="7"/>
  <c r="F52" i="7"/>
  <c r="F51" i="7"/>
  <c r="F50" i="7"/>
  <c r="E52" i="7"/>
  <c r="E51" i="7"/>
  <c r="E50" i="7"/>
  <c r="D52" i="7"/>
  <c r="D51" i="7"/>
  <c r="D50" i="7"/>
  <c r="K3" i="7"/>
  <c r="D9" i="7"/>
  <c r="P9" i="7"/>
  <c r="O9" i="7"/>
  <c r="N9" i="7"/>
  <c r="M9" i="7"/>
  <c r="M10" i="7" s="1"/>
  <c r="M39" i="7" s="1"/>
  <c r="L9" i="7"/>
  <c r="L10" i="7" s="1"/>
  <c r="L39" i="7" s="1"/>
  <c r="K9" i="7"/>
  <c r="K34" i="7" s="1"/>
  <c r="P8" i="7"/>
  <c r="O8" i="7"/>
  <c r="N8" i="7"/>
  <c r="M8" i="7"/>
  <c r="L8" i="7"/>
  <c r="K8" i="7"/>
  <c r="I9" i="7"/>
  <c r="I8" i="7"/>
  <c r="H9" i="7"/>
  <c r="H8" i="7"/>
  <c r="G9" i="7"/>
  <c r="G8" i="7"/>
  <c r="F9" i="7"/>
  <c r="F8" i="7"/>
  <c r="E9" i="7"/>
  <c r="E8" i="7"/>
  <c r="D8" i="7"/>
  <c r="P3" i="7"/>
  <c r="O3" i="7"/>
  <c r="N3" i="7"/>
  <c r="M3" i="7"/>
  <c r="L3" i="7"/>
  <c r="O49" i="7"/>
  <c r="N49" i="7"/>
  <c r="M49" i="7"/>
  <c r="L49" i="7"/>
  <c r="K49" i="7"/>
  <c r="H49" i="7"/>
  <c r="G49" i="7"/>
  <c r="F49" i="7"/>
  <c r="E49" i="7"/>
  <c r="D49" i="7"/>
  <c r="O48" i="7"/>
  <c r="N48" i="7"/>
  <c r="M48" i="7"/>
  <c r="L48" i="7"/>
  <c r="K48" i="7"/>
  <c r="H48" i="7"/>
  <c r="G48" i="7"/>
  <c r="F48" i="7"/>
  <c r="E48" i="7"/>
  <c r="D48" i="7"/>
  <c r="P53" i="7"/>
  <c r="O47" i="7"/>
  <c r="O53" i="7" s="1"/>
  <c r="N47" i="7"/>
  <c r="N53" i="7" s="1"/>
  <c r="M47" i="7"/>
  <c r="M53" i="7" s="1"/>
  <c r="L47" i="7"/>
  <c r="L53" i="7" s="1"/>
  <c r="K47" i="7"/>
  <c r="H47" i="7"/>
  <c r="H53" i="7" s="1"/>
  <c r="G47" i="7"/>
  <c r="G53" i="7" s="1"/>
  <c r="F47" i="7"/>
  <c r="F53" i="7" s="1"/>
  <c r="E47" i="7"/>
  <c r="D47" i="7"/>
  <c r="P38" i="7"/>
  <c r="O38" i="7"/>
  <c r="N38" i="7"/>
  <c r="N43" i="7" s="1"/>
  <c r="M38" i="7"/>
  <c r="M43" i="7" s="1"/>
  <c r="L38" i="7"/>
  <c r="K38" i="7"/>
  <c r="I38" i="7"/>
  <c r="H38" i="7"/>
  <c r="G38" i="7"/>
  <c r="G43" i="7" s="1"/>
  <c r="F38" i="7"/>
  <c r="F43" i="7" s="1"/>
  <c r="E38" i="7"/>
  <c r="D38" i="7"/>
  <c r="P34" i="7"/>
  <c r="O34" i="7"/>
  <c r="N34" i="7"/>
  <c r="L34" i="7"/>
  <c r="I34" i="7"/>
  <c r="H34" i="7"/>
  <c r="G34" i="7"/>
  <c r="F34" i="7"/>
  <c r="E34" i="7"/>
  <c r="D34" i="7"/>
  <c r="P27" i="7"/>
  <c r="P36" i="7" s="1"/>
  <c r="O27" i="7"/>
  <c r="O36" i="7" s="1"/>
  <c r="N27" i="7"/>
  <c r="N31" i="7" s="1"/>
  <c r="M27" i="7"/>
  <c r="M31" i="7" s="1"/>
  <c r="L27" i="7"/>
  <c r="L36" i="7" s="1"/>
  <c r="K27" i="7"/>
  <c r="K36" i="7" s="1"/>
  <c r="I27" i="7"/>
  <c r="I36" i="7" s="1"/>
  <c r="H27" i="7"/>
  <c r="H36" i="7" s="1"/>
  <c r="G27" i="7"/>
  <c r="G31" i="7" s="1"/>
  <c r="F27" i="7"/>
  <c r="F31" i="7" s="1"/>
  <c r="E27" i="7"/>
  <c r="E36" i="7" s="1"/>
  <c r="D27" i="7"/>
  <c r="D36" i="7" s="1"/>
  <c r="P10" i="7"/>
  <c r="P39" i="7" s="1"/>
  <c r="O10" i="7"/>
  <c r="O39" i="7" s="1"/>
  <c r="O44" i="7" s="1"/>
  <c r="N10" i="7"/>
  <c r="N39" i="7" s="1"/>
  <c r="N44" i="7" s="1"/>
  <c r="I10" i="7"/>
  <c r="I39" i="7" s="1"/>
  <c r="H10" i="7"/>
  <c r="H39" i="7" s="1"/>
  <c r="G10" i="7"/>
  <c r="G39" i="7" s="1"/>
  <c r="F10" i="7"/>
  <c r="F39" i="7" s="1"/>
  <c r="E10" i="7"/>
  <c r="E39" i="7" s="1"/>
  <c r="D10" i="7"/>
  <c r="D39" i="7" s="1"/>
  <c r="I3" i="7"/>
  <c r="H3" i="7"/>
  <c r="G3" i="7"/>
  <c r="F3" i="7"/>
  <c r="E3" i="7"/>
  <c r="AE3" i="6"/>
  <c r="AE27" i="6"/>
  <c r="BD52" i="6"/>
  <c r="BC52" i="6"/>
  <c r="BB52" i="6"/>
  <c r="BA52" i="6"/>
  <c r="AZ52" i="6"/>
  <c r="AY52" i="6"/>
  <c r="AX52" i="6"/>
  <c r="AW52" i="6"/>
  <c r="AV52" i="6"/>
  <c r="AU52" i="6"/>
  <c r="AT52" i="6"/>
  <c r="AS52" i="6"/>
  <c r="AR52" i="6"/>
  <c r="AQ52" i="6"/>
  <c r="AP52" i="6"/>
  <c r="AO52" i="6"/>
  <c r="AN52" i="6"/>
  <c r="AM52" i="6"/>
  <c r="AL52" i="6"/>
  <c r="AK52" i="6"/>
  <c r="AJ52" i="6"/>
  <c r="AI52" i="6"/>
  <c r="AH52" i="6"/>
  <c r="AG52" i="6"/>
  <c r="AF52" i="6"/>
  <c r="AE52" i="6"/>
  <c r="BD51" i="6"/>
  <c r="BC51" i="6"/>
  <c r="BB51" i="6"/>
  <c r="BA51" i="6"/>
  <c r="AZ51" i="6"/>
  <c r="AY51" i="6"/>
  <c r="AX51" i="6"/>
  <c r="AW51" i="6"/>
  <c r="AV51" i="6"/>
  <c r="AU51" i="6"/>
  <c r="AT51" i="6"/>
  <c r="AS51" i="6"/>
  <c r="AR51" i="6"/>
  <c r="AQ51" i="6"/>
  <c r="AP51" i="6"/>
  <c r="AO51" i="6"/>
  <c r="AN51" i="6"/>
  <c r="AM51" i="6"/>
  <c r="AL51" i="6"/>
  <c r="AK51" i="6"/>
  <c r="AJ51" i="6"/>
  <c r="AI51" i="6"/>
  <c r="AH51" i="6"/>
  <c r="AG51" i="6"/>
  <c r="AF51" i="6"/>
  <c r="AE51" i="6"/>
  <c r="BD50" i="6"/>
  <c r="BC50" i="6"/>
  <c r="BB50" i="6"/>
  <c r="BA50" i="6"/>
  <c r="AZ50" i="6"/>
  <c r="AY50" i="6"/>
  <c r="AX50" i="6"/>
  <c r="AW50" i="6"/>
  <c r="AV50" i="6"/>
  <c r="AU50" i="6"/>
  <c r="AT50" i="6"/>
  <c r="AS50" i="6"/>
  <c r="AR50" i="6"/>
  <c r="AQ50" i="6"/>
  <c r="AP50" i="6"/>
  <c r="AO50" i="6"/>
  <c r="AN50" i="6"/>
  <c r="AM50" i="6"/>
  <c r="AL50" i="6"/>
  <c r="AK50" i="6"/>
  <c r="AJ50" i="6"/>
  <c r="AI50" i="6"/>
  <c r="AH50" i="6"/>
  <c r="AG50" i="6"/>
  <c r="AF50" i="6"/>
  <c r="AE50" i="6"/>
  <c r="BD49" i="6"/>
  <c r="BC49" i="6"/>
  <c r="BB49" i="6"/>
  <c r="BA49" i="6"/>
  <c r="AZ49" i="6"/>
  <c r="AY49" i="6"/>
  <c r="AX49" i="6"/>
  <c r="AW49" i="6"/>
  <c r="AV49" i="6"/>
  <c r="AU49" i="6"/>
  <c r="AT49" i="6"/>
  <c r="AS49" i="6"/>
  <c r="AR49" i="6"/>
  <c r="AQ49" i="6"/>
  <c r="AP49" i="6"/>
  <c r="AO49" i="6"/>
  <c r="AN49" i="6"/>
  <c r="AM49" i="6"/>
  <c r="AL49" i="6"/>
  <c r="AK49" i="6"/>
  <c r="AJ49" i="6"/>
  <c r="AI49" i="6"/>
  <c r="AH49" i="6"/>
  <c r="AG49" i="6"/>
  <c r="AF49" i="6"/>
  <c r="AE49" i="6"/>
  <c r="BD48" i="6"/>
  <c r="BC48" i="6"/>
  <c r="BB48" i="6"/>
  <c r="BA48" i="6"/>
  <c r="AZ48" i="6"/>
  <c r="AY48" i="6"/>
  <c r="AX48" i="6"/>
  <c r="AW48" i="6"/>
  <c r="AV48" i="6"/>
  <c r="AU48" i="6"/>
  <c r="AT48" i="6"/>
  <c r="AS48" i="6"/>
  <c r="AR48" i="6"/>
  <c r="AQ48" i="6"/>
  <c r="AP48" i="6"/>
  <c r="AO48" i="6"/>
  <c r="AN48" i="6"/>
  <c r="AM48" i="6"/>
  <c r="AL48" i="6"/>
  <c r="AK48" i="6"/>
  <c r="AJ48" i="6"/>
  <c r="AI48" i="6"/>
  <c r="AH48" i="6"/>
  <c r="AG48" i="6"/>
  <c r="AF48" i="6"/>
  <c r="AE48" i="6"/>
  <c r="BD47" i="6"/>
  <c r="BC47" i="6"/>
  <c r="BB47" i="6"/>
  <c r="BA47" i="6"/>
  <c r="AZ47" i="6"/>
  <c r="AZ53" i="6" s="1"/>
  <c r="AY47" i="6"/>
  <c r="AX47" i="6"/>
  <c r="AW47" i="6"/>
  <c r="AV47" i="6"/>
  <c r="AU47" i="6"/>
  <c r="AT47" i="6"/>
  <c r="AT53" i="6" s="1"/>
  <c r="AS47" i="6"/>
  <c r="AS53" i="6" s="1"/>
  <c r="AR47" i="6"/>
  <c r="AQ47" i="6"/>
  <c r="AP47" i="6"/>
  <c r="AO47" i="6"/>
  <c r="AN47" i="6"/>
  <c r="AN53" i="6" s="1"/>
  <c r="AM47" i="6"/>
  <c r="AL47" i="6"/>
  <c r="AK47" i="6"/>
  <c r="AJ47" i="6"/>
  <c r="AJ53" i="6" s="1"/>
  <c r="AI47" i="6"/>
  <c r="AH47" i="6"/>
  <c r="AH53" i="6" s="1"/>
  <c r="AG47" i="6"/>
  <c r="AG53" i="6" s="1"/>
  <c r="AF47" i="6"/>
  <c r="AE47" i="6"/>
  <c r="BB39" i="6"/>
  <c r="BA39" i="6"/>
  <c r="AV39" i="6"/>
  <c r="AT39" i="6"/>
  <c r="AP39" i="6"/>
  <c r="AO39" i="6"/>
  <c r="AI39" i="6"/>
  <c r="AH39" i="6"/>
  <c r="BD38" i="6"/>
  <c r="BD43" i="6" s="1"/>
  <c r="BC38" i="6"/>
  <c r="BC43" i="6" s="1"/>
  <c r="BB38" i="6"/>
  <c r="BB43" i="6" s="1"/>
  <c r="BA38" i="6"/>
  <c r="BA43" i="6" s="1"/>
  <c r="AZ38" i="6"/>
  <c r="AY38" i="6"/>
  <c r="AX38" i="6"/>
  <c r="AX43" i="6" s="1"/>
  <c r="AW38" i="6"/>
  <c r="AW43" i="6" s="1"/>
  <c r="AV38" i="6"/>
  <c r="AV43" i="6" s="1"/>
  <c r="AU38" i="6"/>
  <c r="AU43" i="6" s="1"/>
  <c r="AT38" i="6"/>
  <c r="AS38" i="6"/>
  <c r="AR38" i="6"/>
  <c r="AR43" i="6" s="1"/>
  <c r="AQ38" i="6"/>
  <c r="AQ43" i="6" s="1"/>
  <c r="AP38" i="6"/>
  <c r="AP43" i="6" s="1"/>
  <c r="AO38" i="6"/>
  <c r="AO43" i="6" s="1"/>
  <c r="AN38" i="6"/>
  <c r="AM38" i="6"/>
  <c r="AM43" i="6" s="1"/>
  <c r="AL38" i="6"/>
  <c r="AL43" i="6" s="1"/>
  <c r="AK38" i="6"/>
  <c r="AK43" i="6" s="1"/>
  <c r="AJ38" i="6"/>
  <c r="AJ43" i="6" s="1"/>
  <c r="AI38" i="6"/>
  <c r="AI43" i="6" s="1"/>
  <c r="AH38" i="6"/>
  <c r="AG38" i="6"/>
  <c r="AF38" i="6"/>
  <c r="AF43" i="6" s="1"/>
  <c r="AE38" i="6"/>
  <c r="AE43" i="6" s="1"/>
  <c r="BD34" i="6"/>
  <c r="BC34" i="6"/>
  <c r="BB34" i="6"/>
  <c r="BA34" i="6"/>
  <c r="AZ34" i="6"/>
  <c r="AY34" i="6"/>
  <c r="AX34" i="6"/>
  <c r="AW34" i="6"/>
  <c r="AV34" i="6"/>
  <c r="AU34" i="6"/>
  <c r="AT34" i="6"/>
  <c r="AS34" i="6"/>
  <c r="AR34" i="6"/>
  <c r="AQ34" i="6"/>
  <c r="AP34" i="6"/>
  <c r="AO34" i="6"/>
  <c r="AN34" i="6"/>
  <c r="AM34" i="6"/>
  <c r="AL34" i="6"/>
  <c r="AK34" i="6"/>
  <c r="AJ34" i="6"/>
  <c r="AI34" i="6"/>
  <c r="AH34" i="6"/>
  <c r="AG34" i="6"/>
  <c r="AF34" i="6"/>
  <c r="AE34" i="6"/>
  <c r="BD27" i="6"/>
  <c r="BD31" i="6" s="1"/>
  <c r="BC27" i="6"/>
  <c r="BC31" i="6" s="1"/>
  <c r="BB27" i="6"/>
  <c r="BB31" i="6" s="1"/>
  <c r="BA27" i="6"/>
  <c r="BA36" i="6" s="1"/>
  <c r="AZ27" i="6"/>
  <c r="AZ36" i="6" s="1"/>
  <c r="AY27" i="6"/>
  <c r="AY36" i="6" s="1"/>
  <c r="AX27" i="6"/>
  <c r="AX31" i="6" s="1"/>
  <c r="AW27" i="6"/>
  <c r="AW31" i="6" s="1"/>
  <c r="AV27" i="6"/>
  <c r="AV31" i="6" s="1"/>
  <c r="AU27" i="6"/>
  <c r="AU31" i="6" s="1"/>
  <c r="AT27" i="6"/>
  <c r="AT36" i="6" s="1"/>
  <c r="AS27" i="6"/>
  <c r="AS36" i="6" s="1"/>
  <c r="AR27" i="6"/>
  <c r="AR31" i="6" s="1"/>
  <c r="AQ27" i="6"/>
  <c r="AQ31" i="6" s="1"/>
  <c r="AP27" i="6"/>
  <c r="AP31" i="6" s="1"/>
  <c r="AO27" i="6"/>
  <c r="AO36" i="6" s="1"/>
  <c r="AN27" i="6"/>
  <c r="AN36" i="6" s="1"/>
  <c r="AM27" i="6"/>
  <c r="AM36" i="6" s="1"/>
  <c r="AL27" i="6"/>
  <c r="AL31" i="6" s="1"/>
  <c r="AK27" i="6"/>
  <c r="AK31" i="6" s="1"/>
  <c r="AJ27" i="6"/>
  <c r="AJ31" i="6" s="1"/>
  <c r="AI27" i="6"/>
  <c r="AI36" i="6" s="1"/>
  <c r="AH27" i="6"/>
  <c r="AH36" i="6" s="1"/>
  <c r="AG27" i="6"/>
  <c r="AG36" i="6" s="1"/>
  <c r="AF27" i="6"/>
  <c r="AF31" i="6" s="1"/>
  <c r="AE31" i="6"/>
  <c r="BD3" i="6"/>
  <c r="BC3" i="6"/>
  <c r="BB3" i="6"/>
  <c r="BA3" i="6"/>
  <c r="AZ3" i="6"/>
  <c r="AY3" i="6"/>
  <c r="AX3" i="6"/>
  <c r="AW3" i="6"/>
  <c r="AV3" i="6"/>
  <c r="AU3" i="6"/>
  <c r="AT3" i="6"/>
  <c r="AS3" i="6"/>
  <c r="AR3" i="6"/>
  <c r="AQ3" i="6"/>
  <c r="AP3" i="6"/>
  <c r="AO3" i="6"/>
  <c r="AN3" i="6"/>
  <c r="AM3" i="6"/>
  <c r="AL3" i="6"/>
  <c r="AK3" i="6"/>
  <c r="AJ3" i="6"/>
  <c r="AI3" i="6"/>
  <c r="AH3" i="6"/>
  <c r="AG3" i="6"/>
  <c r="AF3" i="6"/>
  <c r="AZ10" i="6"/>
  <c r="AZ39" i="6" s="1"/>
  <c r="AY10" i="6"/>
  <c r="AY39" i="6" s="1"/>
  <c r="AT10" i="6"/>
  <c r="AS10" i="6"/>
  <c r="AS39" i="6" s="1"/>
  <c r="AN10" i="6"/>
  <c r="AN39" i="6" s="1"/>
  <c r="AM10" i="6"/>
  <c r="AM39" i="6" s="1"/>
  <c r="AH10" i="6"/>
  <c r="AG10" i="6"/>
  <c r="AG39" i="6" s="1"/>
  <c r="BD10" i="6"/>
  <c r="BD39" i="6" s="1"/>
  <c r="BC10" i="6"/>
  <c r="BC39" i="6" s="1"/>
  <c r="BB10" i="6"/>
  <c r="BA10" i="6"/>
  <c r="AX10" i="6"/>
  <c r="AX39" i="6" s="1"/>
  <c r="AW10" i="6"/>
  <c r="AW39" i="6" s="1"/>
  <c r="AV10" i="6"/>
  <c r="AU10" i="6"/>
  <c r="AU39" i="6" s="1"/>
  <c r="AR10" i="6"/>
  <c r="AR39" i="6" s="1"/>
  <c r="AQ10" i="6"/>
  <c r="AQ39" i="6" s="1"/>
  <c r="AQ44" i="6" s="1"/>
  <c r="AP10" i="6"/>
  <c r="AO10" i="6"/>
  <c r="AL10" i="6"/>
  <c r="AL39" i="6" s="1"/>
  <c r="AK10" i="6"/>
  <c r="AK39" i="6" s="1"/>
  <c r="AK44" i="6" s="1"/>
  <c r="AJ10" i="6"/>
  <c r="AJ39" i="6" s="1"/>
  <c r="AI10" i="6"/>
  <c r="AF10" i="6"/>
  <c r="AF39" i="6" s="1"/>
  <c r="AE10" i="6"/>
  <c r="AE39" i="6" s="1"/>
  <c r="AC1" i="6"/>
  <c r="AC3" i="6"/>
  <c r="AB3" i="6"/>
  <c r="AA3" i="6"/>
  <c r="Z3" i="6"/>
  <c r="Y3" i="6"/>
  <c r="X3" i="6"/>
  <c r="W3" i="6"/>
  <c r="V3" i="6"/>
  <c r="T3" i="6"/>
  <c r="S3" i="6"/>
  <c r="R3" i="6"/>
  <c r="Q3" i="6"/>
  <c r="P3" i="6"/>
  <c r="O3" i="6"/>
  <c r="N3" i="6"/>
  <c r="M3" i="6"/>
  <c r="L3" i="6"/>
  <c r="K3" i="6"/>
  <c r="J3" i="6"/>
  <c r="I3" i="6"/>
  <c r="H3" i="6"/>
  <c r="G3" i="6"/>
  <c r="F3" i="6"/>
  <c r="E3" i="6"/>
  <c r="AA52" i="6"/>
  <c r="AA51" i="6"/>
  <c r="AA50" i="6"/>
  <c r="AA49" i="6"/>
  <c r="AA48" i="6"/>
  <c r="AA47" i="6"/>
  <c r="AA38" i="6"/>
  <c r="AA43" i="6" s="1"/>
  <c r="AA27" i="6"/>
  <c r="AA36" i="6" s="1"/>
  <c r="AA10" i="6"/>
  <c r="AA39" i="6" s="1"/>
  <c r="AA34" i="6"/>
  <c r="AB52" i="6"/>
  <c r="AB51" i="6"/>
  <c r="AB50" i="6"/>
  <c r="AB49" i="6"/>
  <c r="AB48" i="6"/>
  <c r="AB47" i="6"/>
  <c r="AB38" i="6"/>
  <c r="AB43" i="6" s="1"/>
  <c r="AB27" i="6"/>
  <c r="AB36" i="6" s="1"/>
  <c r="AB10" i="6"/>
  <c r="AB39" i="6" s="1"/>
  <c r="AB34" i="6"/>
  <c r="AC52" i="6"/>
  <c r="AC51" i="6"/>
  <c r="AC50" i="6"/>
  <c r="AC49" i="6"/>
  <c r="AC48" i="6"/>
  <c r="AC47" i="6"/>
  <c r="AC53" i="6" s="1"/>
  <c r="AC38" i="6"/>
  <c r="AC43" i="6" s="1"/>
  <c r="AC27" i="6"/>
  <c r="AC36" i="6" s="1"/>
  <c r="AC10" i="6"/>
  <c r="AC39" i="6" s="1"/>
  <c r="AC34" i="6"/>
  <c r="Z52" i="6"/>
  <c r="Z51" i="6"/>
  <c r="Z50" i="6"/>
  <c r="Z49" i="6"/>
  <c r="Z48" i="6"/>
  <c r="Z47" i="6"/>
  <c r="Z38" i="6"/>
  <c r="Z43" i="6" s="1"/>
  <c r="Z34" i="6"/>
  <c r="Z27" i="6"/>
  <c r="Z31" i="6" s="1"/>
  <c r="Z10" i="6"/>
  <c r="Z39" i="6" s="1"/>
  <c r="Y52" i="6"/>
  <c r="Y51" i="6"/>
  <c r="Y50" i="6"/>
  <c r="Y49" i="6"/>
  <c r="Y48" i="6"/>
  <c r="Y47" i="6"/>
  <c r="Y38" i="6"/>
  <c r="Y43" i="6" s="1"/>
  <c r="Y34" i="6"/>
  <c r="Y27" i="6"/>
  <c r="Y36" i="6" s="1"/>
  <c r="Y10" i="6"/>
  <c r="Y39" i="6" s="1"/>
  <c r="X52" i="6"/>
  <c r="X51" i="6"/>
  <c r="X50" i="6"/>
  <c r="X49" i="6"/>
  <c r="X48" i="6"/>
  <c r="X47" i="6"/>
  <c r="X53" i="6" s="1"/>
  <c r="X38" i="6"/>
  <c r="X43" i="6" s="1"/>
  <c r="X27" i="6"/>
  <c r="X36" i="6" s="1"/>
  <c r="X34" i="6"/>
  <c r="W52" i="6"/>
  <c r="W51" i="6"/>
  <c r="W50" i="6"/>
  <c r="W49" i="6"/>
  <c r="W48" i="6"/>
  <c r="W47" i="6"/>
  <c r="W38" i="6"/>
  <c r="W43" i="6" s="1"/>
  <c r="W27" i="6"/>
  <c r="W36" i="6" s="1"/>
  <c r="W34" i="6"/>
  <c r="T52" i="6"/>
  <c r="T51" i="6"/>
  <c r="T50" i="6"/>
  <c r="T49" i="6"/>
  <c r="T48" i="6"/>
  <c r="T47" i="6"/>
  <c r="T38" i="6"/>
  <c r="T43" i="6" s="1"/>
  <c r="T27" i="6"/>
  <c r="T36" i="6" s="1"/>
  <c r="T34" i="6"/>
  <c r="R52" i="6"/>
  <c r="R51" i="6"/>
  <c r="R50" i="6"/>
  <c r="R49" i="6"/>
  <c r="R48" i="6"/>
  <c r="R47" i="6"/>
  <c r="R38" i="6"/>
  <c r="R43" i="6" s="1"/>
  <c r="R27" i="6"/>
  <c r="R36" i="6" s="1"/>
  <c r="R34" i="6"/>
  <c r="M52" i="6"/>
  <c r="M51" i="6"/>
  <c r="M50" i="6"/>
  <c r="M49" i="6"/>
  <c r="M48" i="6"/>
  <c r="M47" i="6"/>
  <c r="M38" i="6"/>
  <c r="M43" i="6" s="1"/>
  <c r="M27" i="6"/>
  <c r="M36" i="6" s="1"/>
  <c r="M34" i="6"/>
  <c r="H52" i="6"/>
  <c r="H51" i="6"/>
  <c r="H50" i="6"/>
  <c r="H49" i="6"/>
  <c r="H48" i="6"/>
  <c r="H47" i="6"/>
  <c r="H38" i="6"/>
  <c r="H43" i="6" s="1"/>
  <c r="H27" i="6"/>
  <c r="H36" i="6" s="1"/>
  <c r="H34" i="6"/>
  <c r="V52" i="6"/>
  <c r="U52" i="6"/>
  <c r="S52" i="6"/>
  <c r="Q52" i="6"/>
  <c r="P52" i="6"/>
  <c r="O52" i="6"/>
  <c r="N52" i="6"/>
  <c r="L52" i="6"/>
  <c r="K52" i="6"/>
  <c r="J52" i="6"/>
  <c r="I52" i="6"/>
  <c r="G52" i="6"/>
  <c r="F52" i="6"/>
  <c r="E52" i="6"/>
  <c r="D52" i="6"/>
  <c r="V51" i="6"/>
  <c r="U51" i="6"/>
  <c r="S51" i="6"/>
  <c r="Q51" i="6"/>
  <c r="P51" i="6"/>
  <c r="O51" i="6"/>
  <c r="N51" i="6"/>
  <c r="L51" i="6"/>
  <c r="K51" i="6"/>
  <c r="J51" i="6"/>
  <c r="I51" i="6"/>
  <c r="G51" i="6"/>
  <c r="F51" i="6"/>
  <c r="E51" i="6"/>
  <c r="D51" i="6"/>
  <c r="V50" i="6"/>
  <c r="U50" i="6"/>
  <c r="S50" i="6"/>
  <c r="Q50" i="6"/>
  <c r="P50" i="6"/>
  <c r="O50" i="6"/>
  <c r="N50" i="6"/>
  <c r="L50" i="6"/>
  <c r="K50" i="6"/>
  <c r="J50" i="6"/>
  <c r="I50" i="6"/>
  <c r="G50" i="6"/>
  <c r="F50" i="6"/>
  <c r="E50" i="6"/>
  <c r="D50" i="6"/>
  <c r="V49" i="6"/>
  <c r="U49" i="6"/>
  <c r="S49" i="6"/>
  <c r="Q49" i="6"/>
  <c r="P49" i="6"/>
  <c r="O49" i="6"/>
  <c r="N49" i="6"/>
  <c r="L49" i="6"/>
  <c r="K49" i="6"/>
  <c r="J49" i="6"/>
  <c r="I49" i="6"/>
  <c r="G49" i="6"/>
  <c r="F49" i="6"/>
  <c r="E49" i="6"/>
  <c r="D49" i="6"/>
  <c r="V48" i="6"/>
  <c r="U48" i="6"/>
  <c r="S48" i="6"/>
  <c r="Q48" i="6"/>
  <c r="P48" i="6"/>
  <c r="O48" i="6"/>
  <c r="N48" i="6"/>
  <c r="L48" i="6"/>
  <c r="K48" i="6"/>
  <c r="J48" i="6"/>
  <c r="I48" i="6"/>
  <c r="G48" i="6"/>
  <c r="F48" i="6"/>
  <c r="E48" i="6"/>
  <c r="D48" i="6"/>
  <c r="V47" i="6"/>
  <c r="U47" i="6"/>
  <c r="S47" i="6"/>
  <c r="Q47" i="6"/>
  <c r="P47" i="6"/>
  <c r="P53" i="6" s="1"/>
  <c r="O47" i="6"/>
  <c r="O53" i="6" s="1"/>
  <c r="N47" i="6"/>
  <c r="N53" i="6" s="1"/>
  <c r="L47" i="6"/>
  <c r="L53" i="6" s="1"/>
  <c r="K47" i="6"/>
  <c r="J47" i="6"/>
  <c r="I47" i="6"/>
  <c r="I53" i="6" s="1"/>
  <c r="G47" i="6"/>
  <c r="F47" i="6"/>
  <c r="F53" i="6" s="1"/>
  <c r="E47" i="6"/>
  <c r="E53" i="6" s="1"/>
  <c r="D47" i="6"/>
  <c r="V38" i="6"/>
  <c r="V43" i="6" s="1"/>
  <c r="U38" i="6"/>
  <c r="U43" i="6" s="1"/>
  <c r="S38" i="6"/>
  <c r="Q38" i="6"/>
  <c r="P38" i="6"/>
  <c r="P43" i="6" s="1"/>
  <c r="O38" i="6"/>
  <c r="O43" i="6" s="1"/>
  <c r="N38" i="6"/>
  <c r="N43" i="6" s="1"/>
  <c r="L38" i="6"/>
  <c r="K38" i="6"/>
  <c r="J38" i="6"/>
  <c r="J43" i="6" s="1"/>
  <c r="I38" i="6"/>
  <c r="I43" i="6" s="1"/>
  <c r="G38" i="6"/>
  <c r="G43" i="6" s="1"/>
  <c r="F38" i="6"/>
  <c r="F43" i="6" s="1"/>
  <c r="E38" i="6"/>
  <c r="D38" i="6"/>
  <c r="S34" i="6"/>
  <c r="L34" i="6"/>
  <c r="K34" i="6"/>
  <c r="D34" i="6"/>
  <c r="V27" i="6"/>
  <c r="V31" i="6" s="1"/>
  <c r="U27" i="6"/>
  <c r="U36" i="6" s="1"/>
  <c r="S27" i="6"/>
  <c r="S36" i="6" s="1"/>
  <c r="Q27" i="6"/>
  <c r="Q36" i="6" s="1"/>
  <c r="P27" i="6"/>
  <c r="P36" i="6" s="1"/>
  <c r="O27" i="6"/>
  <c r="O31" i="6" s="1"/>
  <c r="N27" i="6"/>
  <c r="N31" i="6" s="1"/>
  <c r="L27" i="6"/>
  <c r="L36" i="6" s="1"/>
  <c r="K27" i="6"/>
  <c r="K36" i="6" s="1"/>
  <c r="J27" i="6"/>
  <c r="J36" i="6" s="1"/>
  <c r="I27" i="6"/>
  <c r="I36" i="6" s="1"/>
  <c r="G27" i="6"/>
  <c r="G31" i="6" s="1"/>
  <c r="F27" i="6"/>
  <c r="F36" i="6" s="1"/>
  <c r="E27" i="6"/>
  <c r="E36" i="6" s="1"/>
  <c r="D27" i="6"/>
  <c r="D36" i="6" s="1"/>
  <c r="V10" i="6"/>
  <c r="V39" i="6" s="1"/>
  <c r="S10" i="6"/>
  <c r="S39" i="6" s="1"/>
  <c r="L10" i="6"/>
  <c r="L39" i="6" s="1"/>
  <c r="V34" i="6"/>
  <c r="U34" i="6"/>
  <c r="Q34" i="6"/>
  <c r="P34" i="6"/>
  <c r="O34" i="6"/>
  <c r="N34" i="6"/>
  <c r="K10" i="6"/>
  <c r="K39" i="6" s="1"/>
  <c r="K44" i="6" s="1"/>
  <c r="J34" i="6"/>
  <c r="I34" i="6"/>
  <c r="G34" i="6"/>
  <c r="F10" i="6"/>
  <c r="F39" i="6" s="1"/>
  <c r="E10" i="6"/>
  <c r="E39" i="6" s="1"/>
  <c r="D10" i="6"/>
  <c r="D39" i="6" s="1"/>
  <c r="U3" i="6"/>
  <c r="N63" i="4"/>
  <c r="N62" i="4"/>
  <c r="N61" i="4"/>
  <c r="N60" i="4"/>
  <c r="N59" i="4"/>
  <c r="N58" i="4"/>
  <c r="N57" i="4"/>
  <c r="N56" i="4"/>
  <c r="I63" i="4"/>
  <c r="I62" i="4"/>
  <c r="I61" i="4"/>
  <c r="I60" i="4"/>
  <c r="I59" i="4"/>
  <c r="I58" i="4"/>
  <c r="I57" i="4"/>
  <c r="I56" i="4"/>
  <c r="E63" i="4"/>
  <c r="E62" i="4"/>
  <c r="E61" i="4"/>
  <c r="E60" i="4"/>
  <c r="E59" i="4"/>
  <c r="E58" i="4"/>
  <c r="E57" i="4"/>
  <c r="E56" i="4"/>
  <c r="L64" i="4"/>
  <c r="G64" i="4"/>
  <c r="D64" i="4"/>
  <c r="L63" i="4"/>
  <c r="G63" i="4"/>
  <c r="D63" i="4"/>
  <c r="A63" i="4"/>
  <c r="L62" i="4"/>
  <c r="L61" i="4"/>
  <c r="L60" i="4"/>
  <c r="L59" i="4"/>
  <c r="L58" i="4"/>
  <c r="L57" i="4"/>
  <c r="L56" i="4"/>
  <c r="G62" i="4"/>
  <c r="G61" i="4"/>
  <c r="G60" i="4"/>
  <c r="G59" i="4"/>
  <c r="G58" i="4"/>
  <c r="G57" i="4"/>
  <c r="G56" i="4"/>
  <c r="D62" i="4"/>
  <c r="D61" i="4"/>
  <c r="D60" i="4"/>
  <c r="D59" i="4"/>
  <c r="D58" i="4"/>
  <c r="D57" i="4"/>
  <c r="D56" i="4"/>
  <c r="A62" i="4"/>
  <c r="A61" i="4"/>
  <c r="A60" i="4"/>
  <c r="A59" i="4"/>
  <c r="A58" i="4"/>
  <c r="A57" i="4"/>
  <c r="A56" i="4"/>
  <c r="G53" i="1"/>
  <c r="F53" i="1"/>
  <c r="Q52" i="1"/>
  <c r="O52" i="1"/>
  <c r="N52" i="1"/>
  <c r="K52" i="1"/>
  <c r="J52" i="1"/>
  <c r="J53" i="1" s="1"/>
  <c r="I52" i="1"/>
  <c r="I53" i="1" s="1"/>
  <c r="G52" i="1"/>
  <c r="F52" i="1"/>
  <c r="E52" i="1"/>
  <c r="D52" i="1"/>
  <c r="Q51" i="1"/>
  <c r="O51" i="1"/>
  <c r="N51" i="1"/>
  <c r="K51" i="1"/>
  <c r="K53" i="1" s="1"/>
  <c r="J51" i="1"/>
  <c r="I51" i="1"/>
  <c r="G51" i="1"/>
  <c r="F51" i="1"/>
  <c r="E51" i="1"/>
  <c r="D51" i="1"/>
  <c r="Q50" i="1"/>
  <c r="O50" i="1"/>
  <c r="O53" i="1" s="1"/>
  <c r="N50" i="1"/>
  <c r="N53" i="1" s="1"/>
  <c r="K50" i="1"/>
  <c r="J50" i="1"/>
  <c r="I50" i="1"/>
  <c r="G50" i="1"/>
  <c r="F50" i="1"/>
  <c r="E50" i="1"/>
  <c r="D50" i="1"/>
  <c r="Q49" i="1"/>
  <c r="Q53" i="1" s="1"/>
  <c r="O49" i="1"/>
  <c r="N49" i="1"/>
  <c r="K49" i="1"/>
  <c r="J49" i="1"/>
  <c r="I49" i="1"/>
  <c r="G49" i="1"/>
  <c r="F49" i="1"/>
  <c r="E49" i="1"/>
  <c r="D49" i="1"/>
  <c r="Q48" i="1"/>
  <c r="O48" i="1"/>
  <c r="N48" i="1"/>
  <c r="K48" i="1"/>
  <c r="J48" i="1"/>
  <c r="I48" i="1"/>
  <c r="G48" i="1"/>
  <c r="F48" i="1"/>
  <c r="E48" i="1"/>
  <c r="D48" i="1"/>
  <c r="Q47" i="1"/>
  <c r="O47" i="1"/>
  <c r="N47" i="1"/>
  <c r="K47" i="1"/>
  <c r="J47" i="1"/>
  <c r="I47" i="1"/>
  <c r="G47" i="1"/>
  <c r="F47" i="1"/>
  <c r="E47" i="1"/>
  <c r="E53" i="1" s="1"/>
  <c r="D47" i="1"/>
  <c r="D53" i="1" s="1"/>
  <c r="P53" i="2"/>
  <c r="K53" i="2"/>
  <c r="J53" i="2"/>
  <c r="V52" i="2"/>
  <c r="U52" i="2"/>
  <c r="T52" i="2"/>
  <c r="S52" i="2"/>
  <c r="Q52" i="2"/>
  <c r="P52" i="2"/>
  <c r="O52" i="2"/>
  <c r="N52" i="2"/>
  <c r="N53" i="2" s="1"/>
  <c r="L52" i="2"/>
  <c r="L53" i="2" s="1"/>
  <c r="K52" i="2"/>
  <c r="J52" i="2"/>
  <c r="I52" i="2"/>
  <c r="G52" i="2"/>
  <c r="F52" i="2"/>
  <c r="E52" i="2"/>
  <c r="D52" i="2"/>
  <c r="V51" i="2"/>
  <c r="U51" i="2"/>
  <c r="T51" i="2"/>
  <c r="S51" i="2"/>
  <c r="Q51" i="2"/>
  <c r="P51" i="2"/>
  <c r="O51" i="2"/>
  <c r="O53" i="2" s="1"/>
  <c r="N51" i="2"/>
  <c r="L51" i="2"/>
  <c r="K51" i="2"/>
  <c r="J51" i="2"/>
  <c r="I51" i="2"/>
  <c r="G51" i="2"/>
  <c r="F51" i="2"/>
  <c r="E51" i="2"/>
  <c r="D51" i="2"/>
  <c r="V50" i="2"/>
  <c r="U50" i="2"/>
  <c r="T50" i="2"/>
  <c r="S50" i="2"/>
  <c r="Q50" i="2"/>
  <c r="Q53" i="2" s="1"/>
  <c r="P50" i="2"/>
  <c r="O50" i="2"/>
  <c r="N50" i="2"/>
  <c r="L50" i="2"/>
  <c r="K50" i="2"/>
  <c r="J50" i="2"/>
  <c r="I50" i="2"/>
  <c r="G50" i="2"/>
  <c r="F50" i="2"/>
  <c r="E50" i="2"/>
  <c r="D50" i="2"/>
  <c r="V49" i="2"/>
  <c r="U49" i="2"/>
  <c r="T49" i="2"/>
  <c r="S49" i="2"/>
  <c r="Q49" i="2"/>
  <c r="P49" i="2"/>
  <c r="O49" i="2"/>
  <c r="N49" i="2"/>
  <c r="L49" i="2"/>
  <c r="K49" i="2"/>
  <c r="J49" i="2"/>
  <c r="I49" i="2"/>
  <c r="G49" i="2"/>
  <c r="F49" i="2"/>
  <c r="E49" i="2"/>
  <c r="D49" i="2"/>
  <c r="V48" i="2"/>
  <c r="U48" i="2"/>
  <c r="T48" i="2"/>
  <c r="T53" i="2" s="1"/>
  <c r="S48" i="2"/>
  <c r="S53" i="2" s="1"/>
  <c r="Q48" i="2"/>
  <c r="P48" i="2"/>
  <c r="O48" i="2"/>
  <c r="N48" i="2"/>
  <c r="L48" i="2"/>
  <c r="K48" i="2"/>
  <c r="J48" i="2"/>
  <c r="I48" i="2"/>
  <c r="G48" i="2"/>
  <c r="F48" i="2"/>
  <c r="F53" i="2" s="1"/>
  <c r="E48" i="2"/>
  <c r="D48" i="2"/>
  <c r="V47" i="2"/>
  <c r="V53" i="2" s="1"/>
  <c r="U47" i="2"/>
  <c r="U53" i="2" s="1"/>
  <c r="T47" i="2"/>
  <c r="S47" i="2"/>
  <c r="Q47" i="2"/>
  <c r="P47" i="2"/>
  <c r="O47" i="2"/>
  <c r="N47" i="2"/>
  <c r="L47" i="2"/>
  <c r="K47" i="2"/>
  <c r="J47" i="2"/>
  <c r="I47" i="2"/>
  <c r="I53" i="2" s="1"/>
  <c r="G47" i="2"/>
  <c r="G53" i="2" s="1"/>
  <c r="F47" i="2"/>
  <c r="E47" i="2"/>
  <c r="E53" i="2" s="1"/>
  <c r="D47" i="2"/>
  <c r="D53" i="2" s="1"/>
  <c r="O53" i="3"/>
  <c r="N53" i="3"/>
  <c r="V52" i="3"/>
  <c r="U52" i="3"/>
  <c r="T52" i="3"/>
  <c r="S52" i="3"/>
  <c r="Q52" i="3"/>
  <c r="Q53" i="3" s="1"/>
  <c r="P52" i="3"/>
  <c r="P53" i="3" s="1"/>
  <c r="O52" i="3"/>
  <c r="N52" i="3"/>
  <c r="L52" i="3"/>
  <c r="K52" i="3"/>
  <c r="J52" i="3"/>
  <c r="I52" i="3"/>
  <c r="G52" i="3"/>
  <c r="F52" i="3"/>
  <c r="E52" i="3"/>
  <c r="D52" i="3"/>
  <c r="V51" i="3"/>
  <c r="U51" i="3"/>
  <c r="T51" i="3"/>
  <c r="S51" i="3"/>
  <c r="Q51" i="3"/>
  <c r="P51" i="3"/>
  <c r="O51" i="3"/>
  <c r="N51" i="3"/>
  <c r="L51" i="3"/>
  <c r="K51" i="3"/>
  <c r="J51" i="3"/>
  <c r="I51" i="3"/>
  <c r="G51" i="3"/>
  <c r="F51" i="3"/>
  <c r="E51" i="3"/>
  <c r="D51" i="3"/>
  <c r="V50" i="3"/>
  <c r="U50" i="3"/>
  <c r="T50" i="3"/>
  <c r="S50" i="3"/>
  <c r="Q50" i="3"/>
  <c r="P50" i="3"/>
  <c r="O50" i="3"/>
  <c r="N50" i="3"/>
  <c r="L50" i="3"/>
  <c r="K50" i="3"/>
  <c r="J50" i="3"/>
  <c r="I50" i="3"/>
  <c r="G50" i="3"/>
  <c r="F50" i="3"/>
  <c r="E50" i="3"/>
  <c r="D50" i="3"/>
  <c r="V49" i="3"/>
  <c r="U49" i="3"/>
  <c r="T49" i="3"/>
  <c r="S49" i="3"/>
  <c r="Q49" i="3"/>
  <c r="P49" i="3"/>
  <c r="O49" i="3"/>
  <c r="N49" i="3"/>
  <c r="L49" i="3"/>
  <c r="K49" i="3"/>
  <c r="J49" i="3"/>
  <c r="I49" i="3"/>
  <c r="G49" i="3"/>
  <c r="G53" i="3" s="1"/>
  <c r="F49" i="3"/>
  <c r="F53" i="3" s="1"/>
  <c r="E49" i="3"/>
  <c r="D49" i="3"/>
  <c r="V48" i="3"/>
  <c r="U48" i="3"/>
  <c r="T48" i="3"/>
  <c r="T53" i="3" s="1"/>
  <c r="S48" i="3"/>
  <c r="S53" i="3" s="1"/>
  <c r="Q48" i="3"/>
  <c r="P48" i="3"/>
  <c r="O48" i="3"/>
  <c r="N48" i="3"/>
  <c r="L48" i="3"/>
  <c r="K48" i="3"/>
  <c r="J48" i="3"/>
  <c r="J53" i="3" s="1"/>
  <c r="I48" i="3"/>
  <c r="I53" i="3" s="1"/>
  <c r="G48" i="3"/>
  <c r="F48" i="3"/>
  <c r="E48" i="3"/>
  <c r="D48" i="3"/>
  <c r="V47" i="3"/>
  <c r="V53" i="3" s="1"/>
  <c r="U47" i="3"/>
  <c r="U53" i="3" s="1"/>
  <c r="T47" i="3"/>
  <c r="S47" i="3"/>
  <c r="Q47" i="3"/>
  <c r="P47" i="3"/>
  <c r="O47" i="3"/>
  <c r="N47" i="3"/>
  <c r="L47" i="3"/>
  <c r="L53" i="3" s="1"/>
  <c r="K47" i="3"/>
  <c r="K53" i="3" s="1"/>
  <c r="J47" i="3"/>
  <c r="I47" i="3"/>
  <c r="G47" i="3"/>
  <c r="F47" i="3"/>
  <c r="E47" i="3"/>
  <c r="E53" i="3" s="1"/>
  <c r="D47" i="3"/>
  <c r="D53" i="3" s="1"/>
  <c r="V52" i="4"/>
  <c r="U52" i="4"/>
  <c r="T52" i="4"/>
  <c r="S52" i="4"/>
  <c r="V51" i="4"/>
  <c r="U51" i="4"/>
  <c r="T51" i="4"/>
  <c r="S51" i="4"/>
  <c r="V50" i="4"/>
  <c r="U50" i="4"/>
  <c r="T50" i="4"/>
  <c r="S50" i="4"/>
  <c r="V49" i="4"/>
  <c r="U49" i="4"/>
  <c r="T49" i="4"/>
  <c r="S49" i="4"/>
  <c r="V48" i="4"/>
  <c r="U48" i="4"/>
  <c r="T48" i="4"/>
  <c r="S48" i="4"/>
  <c r="V47" i="4"/>
  <c r="U47" i="4"/>
  <c r="T47" i="4"/>
  <c r="S47" i="4"/>
  <c r="Q52" i="4"/>
  <c r="P52" i="4"/>
  <c r="O52" i="4"/>
  <c r="N52" i="4"/>
  <c r="Q51" i="4"/>
  <c r="P51" i="4"/>
  <c r="O51" i="4"/>
  <c r="N51" i="4"/>
  <c r="Q50" i="4"/>
  <c r="P50" i="4"/>
  <c r="O50" i="4"/>
  <c r="N50" i="4"/>
  <c r="Q49" i="4"/>
  <c r="P49" i="4"/>
  <c r="O49" i="4"/>
  <c r="N49" i="4"/>
  <c r="Q48" i="4"/>
  <c r="P48" i="4"/>
  <c r="O48" i="4"/>
  <c r="N48" i="4"/>
  <c r="Q47" i="4"/>
  <c r="P47" i="4"/>
  <c r="O47" i="4"/>
  <c r="N47" i="4"/>
  <c r="L52" i="4"/>
  <c r="K52" i="4"/>
  <c r="J52" i="4"/>
  <c r="I52" i="4"/>
  <c r="L51" i="4"/>
  <c r="K51" i="4"/>
  <c r="J51" i="4"/>
  <c r="I51" i="4"/>
  <c r="L50" i="4"/>
  <c r="K50" i="4"/>
  <c r="J50" i="4"/>
  <c r="I50" i="4"/>
  <c r="L49" i="4"/>
  <c r="K49" i="4"/>
  <c r="J49" i="4"/>
  <c r="I49" i="4"/>
  <c r="L48" i="4"/>
  <c r="K48" i="4"/>
  <c r="J48" i="4"/>
  <c r="I48" i="4"/>
  <c r="L47" i="4"/>
  <c r="K47" i="4"/>
  <c r="J47" i="4"/>
  <c r="I47" i="4"/>
  <c r="G52" i="4"/>
  <c r="G51" i="4"/>
  <c r="G50" i="4"/>
  <c r="G49" i="4"/>
  <c r="G48" i="4"/>
  <c r="G47" i="4"/>
  <c r="F52" i="4"/>
  <c r="F51" i="4"/>
  <c r="F50" i="4"/>
  <c r="F49" i="4"/>
  <c r="F48" i="4"/>
  <c r="F47" i="4"/>
  <c r="E52" i="4"/>
  <c r="E51" i="4"/>
  <c r="E50" i="4"/>
  <c r="E49" i="4"/>
  <c r="E48" i="4"/>
  <c r="E47" i="4"/>
  <c r="D52" i="4"/>
  <c r="D51" i="4"/>
  <c r="D50" i="4"/>
  <c r="D49" i="4"/>
  <c r="D48" i="4"/>
  <c r="D47" i="4"/>
  <c r="V27" i="4"/>
  <c r="V36" i="4" s="1"/>
  <c r="F135" i="4" s="1"/>
  <c r="U27" i="4"/>
  <c r="T27" i="4"/>
  <c r="T36" i="4" s="1"/>
  <c r="D135" i="4" s="1"/>
  <c r="S27" i="4"/>
  <c r="S31" i="4" s="1"/>
  <c r="Q27" i="4"/>
  <c r="Q36" i="4" s="1"/>
  <c r="F134" i="4" s="1"/>
  <c r="P27" i="4"/>
  <c r="P36" i="4" s="1"/>
  <c r="E134" i="4" s="1"/>
  <c r="O27" i="4"/>
  <c r="O36" i="4" s="1"/>
  <c r="D134" i="4" s="1"/>
  <c r="N27" i="4"/>
  <c r="L27" i="4"/>
  <c r="L31" i="4" s="1"/>
  <c r="K27" i="4"/>
  <c r="K31" i="4" s="1"/>
  <c r="J27" i="4"/>
  <c r="C102" i="4" s="1"/>
  <c r="I27" i="4"/>
  <c r="I31" i="4" s="1"/>
  <c r="G27" i="4"/>
  <c r="E27" i="4"/>
  <c r="E31" i="4" s="1"/>
  <c r="D27" i="4"/>
  <c r="D31" i="4" s="1"/>
  <c r="F27" i="4"/>
  <c r="T3" i="4"/>
  <c r="S3" i="4"/>
  <c r="O3" i="4"/>
  <c r="N3" i="4"/>
  <c r="L3" i="4"/>
  <c r="K3" i="4"/>
  <c r="G3" i="4"/>
  <c r="F3" i="4"/>
  <c r="V3" i="4"/>
  <c r="U3" i="4"/>
  <c r="Q3" i="4"/>
  <c r="P3" i="4"/>
  <c r="J3" i="4"/>
  <c r="I3" i="4"/>
  <c r="D3" i="4"/>
  <c r="E3" i="4"/>
  <c r="V38" i="4"/>
  <c r="V43" i="4" s="1"/>
  <c r="U38" i="4"/>
  <c r="U43" i="4" s="1"/>
  <c r="T38" i="4"/>
  <c r="S38" i="4"/>
  <c r="Q38" i="4"/>
  <c r="P38" i="4"/>
  <c r="P43" i="4" s="1"/>
  <c r="O38" i="4"/>
  <c r="O43" i="4" s="1"/>
  <c r="N38" i="4"/>
  <c r="N43" i="4" s="1"/>
  <c r="L38" i="4"/>
  <c r="K38" i="4"/>
  <c r="J38" i="4"/>
  <c r="I38" i="4"/>
  <c r="G38" i="4"/>
  <c r="G43" i="4" s="1"/>
  <c r="F38" i="4"/>
  <c r="F43" i="4" s="1"/>
  <c r="E38" i="4"/>
  <c r="D38" i="4"/>
  <c r="V9" i="4"/>
  <c r="V10" i="4" s="1"/>
  <c r="V39" i="4" s="1"/>
  <c r="U9" i="4"/>
  <c r="U10" i="4" s="1"/>
  <c r="U39" i="4" s="1"/>
  <c r="T9" i="4"/>
  <c r="T10" i="4" s="1"/>
  <c r="T39" i="4" s="1"/>
  <c r="S9" i="4"/>
  <c r="S34" i="4" s="1"/>
  <c r="L135" i="4" s="1"/>
  <c r="Q9" i="4"/>
  <c r="P9" i="4"/>
  <c r="O9" i="4"/>
  <c r="O34" i="4" s="1"/>
  <c r="M134" i="4" s="1"/>
  <c r="N9" i="4"/>
  <c r="N34" i="4" s="1"/>
  <c r="L134" i="4" s="1"/>
  <c r="L9" i="4"/>
  <c r="L10" i="4" s="1"/>
  <c r="L39" i="4" s="1"/>
  <c r="K9" i="4"/>
  <c r="J9" i="4"/>
  <c r="I9" i="4"/>
  <c r="G9" i="4"/>
  <c r="G10" i="4" s="1"/>
  <c r="G39" i="4" s="1"/>
  <c r="F9" i="4"/>
  <c r="F10" i="4" s="1"/>
  <c r="F39" i="4" s="1"/>
  <c r="E9" i="4"/>
  <c r="E34" i="4" s="1"/>
  <c r="M132" i="4" s="1"/>
  <c r="D9" i="4"/>
  <c r="D10" i="4" s="1"/>
  <c r="D39" i="4" s="1"/>
  <c r="V8" i="4"/>
  <c r="U8" i="4"/>
  <c r="T8" i="4"/>
  <c r="S8" i="4"/>
  <c r="Q8" i="4"/>
  <c r="P8" i="4"/>
  <c r="O8" i="4"/>
  <c r="N8" i="4"/>
  <c r="L8" i="4"/>
  <c r="K8" i="4"/>
  <c r="J8" i="4"/>
  <c r="I8" i="4"/>
  <c r="G8" i="4"/>
  <c r="F8" i="4"/>
  <c r="E8" i="4"/>
  <c r="D8" i="4"/>
  <c r="F68" i="3"/>
  <c r="E68" i="3"/>
  <c r="V38" i="3"/>
  <c r="V43" i="3" s="1"/>
  <c r="U38" i="3"/>
  <c r="U43" i="3" s="1"/>
  <c r="T38" i="3"/>
  <c r="T43" i="3" s="1"/>
  <c r="S38" i="3"/>
  <c r="Q38" i="3"/>
  <c r="P38" i="3"/>
  <c r="O38" i="3"/>
  <c r="O43" i="3" s="1"/>
  <c r="N38" i="3"/>
  <c r="N43" i="3" s="1"/>
  <c r="L38" i="3"/>
  <c r="K38" i="3"/>
  <c r="K43" i="3" s="1"/>
  <c r="J38" i="3"/>
  <c r="I38" i="3"/>
  <c r="I43" i="3" s="1"/>
  <c r="G38" i="3"/>
  <c r="G43" i="3" s="1"/>
  <c r="F38" i="3"/>
  <c r="F43" i="3" s="1"/>
  <c r="E38" i="3"/>
  <c r="E43" i="3" s="1"/>
  <c r="D38" i="3"/>
  <c r="V27" i="3"/>
  <c r="V36" i="3" s="1"/>
  <c r="F110" i="3" s="1"/>
  <c r="U27" i="3"/>
  <c r="T27" i="3"/>
  <c r="T36" i="3" s="1"/>
  <c r="D110" i="3" s="1"/>
  <c r="S27" i="3"/>
  <c r="S36" i="3" s="1"/>
  <c r="C110" i="3" s="1"/>
  <c r="Q27" i="3"/>
  <c r="Q31" i="3" s="1"/>
  <c r="P27" i="3"/>
  <c r="E69" i="3" s="1"/>
  <c r="O27" i="3"/>
  <c r="N27" i="3"/>
  <c r="N36" i="3" s="1"/>
  <c r="C109" i="3" s="1"/>
  <c r="L27" i="3"/>
  <c r="L36" i="3" s="1"/>
  <c r="F108" i="3" s="1"/>
  <c r="K27" i="3"/>
  <c r="K36" i="3" s="1"/>
  <c r="E108" i="3" s="1"/>
  <c r="J27" i="3"/>
  <c r="J36" i="3" s="1"/>
  <c r="D108" i="3" s="1"/>
  <c r="I27" i="3"/>
  <c r="I36" i="3" s="1"/>
  <c r="C108" i="3" s="1"/>
  <c r="G27" i="3"/>
  <c r="F27" i="3"/>
  <c r="E27" i="3"/>
  <c r="E36" i="3" s="1"/>
  <c r="D107" i="3" s="1"/>
  <c r="D27" i="3"/>
  <c r="D36" i="3" s="1"/>
  <c r="C107" i="3" s="1"/>
  <c r="V9" i="3"/>
  <c r="V34" i="3" s="1"/>
  <c r="F130" i="3" s="1"/>
  <c r="U9" i="3"/>
  <c r="U10" i="3" s="1"/>
  <c r="U39" i="3" s="1"/>
  <c r="T9" i="3"/>
  <c r="T10" i="3" s="1"/>
  <c r="T39" i="3" s="1"/>
  <c r="S9" i="3"/>
  <c r="S34" i="3" s="1"/>
  <c r="C130" i="3" s="1"/>
  <c r="Q9" i="3"/>
  <c r="P9" i="3"/>
  <c r="O9" i="3"/>
  <c r="O34" i="3" s="1"/>
  <c r="D129" i="3" s="1"/>
  <c r="N9" i="3"/>
  <c r="N34" i="3" s="1"/>
  <c r="C129" i="3" s="1"/>
  <c r="L9" i="3"/>
  <c r="L34" i="3" s="1"/>
  <c r="F128" i="3" s="1"/>
  <c r="K9" i="3"/>
  <c r="K10" i="3" s="1"/>
  <c r="K39" i="3" s="1"/>
  <c r="J9" i="3"/>
  <c r="I9" i="3"/>
  <c r="G9" i="3"/>
  <c r="G34" i="3" s="1"/>
  <c r="F127" i="3" s="1"/>
  <c r="F9" i="3"/>
  <c r="F10" i="3" s="1"/>
  <c r="F39" i="3" s="1"/>
  <c r="E9" i="3"/>
  <c r="E10" i="3" s="1"/>
  <c r="E39" i="3" s="1"/>
  <c r="D9" i="3"/>
  <c r="D34" i="3" s="1"/>
  <c r="C127" i="3" s="1"/>
  <c r="V8" i="3"/>
  <c r="U8" i="3"/>
  <c r="T8" i="3"/>
  <c r="S8" i="3"/>
  <c r="Q8" i="3"/>
  <c r="P8" i="3"/>
  <c r="O8" i="3"/>
  <c r="N8" i="3"/>
  <c r="L8" i="3"/>
  <c r="K8" i="3"/>
  <c r="J8" i="3"/>
  <c r="I8" i="3"/>
  <c r="G8" i="3"/>
  <c r="F8" i="3"/>
  <c r="E8" i="3"/>
  <c r="D8" i="3"/>
  <c r="V3" i="3"/>
  <c r="U3" i="3"/>
  <c r="T3" i="3"/>
  <c r="S3" i="3"/>
  <c r="Q3" i="3"/>
  <c r="P3" i="3"/>
  <c r="O3" i="3"/>
  <c r="N3" i="3"/>
  <c r="L3" i="3"/>
  <c r="K3" i="3"/>
  <c r="J3" i="3"/>
  <c r="I3" i="3"/>
  <c r="G3" i="3"/>
  <c r="F3" i="3"/>
  <c r="E3" i="3"/>
  <c r="D3" i="3"/>
  <c r="S43" i="2"/>
  <c r="O43" i="2"/>
  <c r="F43" i="2"/>
  <c r="J39" i="2"/>
  <c r="V38" i="2"/>
  <c r="V43" i="2" s="1"/>
  <c r="U38" i="2"/>
  <c r="T38" i="2"/>
  <c r="S38" i="2"/>
  <c r="Q38" i="2"/>
  <c r="Q43" i="2" s="1"/>
  <c r="P38" i="2"/>
  <c r="P43" i="2" s="1"/>
  <c r="O38" i="2"/>
  <c r="N38" i="2"/>
  <c r="L38" i="2"/>
  <c r="L43" i="2" s="1"/>
  <c r="K38" i="2"/>
  <c r="J38" i="2"/>
  <c r="J43" i="2" s="1"/>
  <c r="I38" i="2"/>
  <c r="I43" i="2" s="1"/>
  <c r="G38" i="2"/>
  <c r="F38" i="2"/>
  <c r="E38" i="2"/>
  <c r="D38" i="2"/>
  <c r="D43" i="2" s="1"/>
  <c r="P36" i="2"/>
  <c r="L36" i="2"/>
  <c r="V34" i="2"/>
  <c r="P34" i="2"/>
  <c r="O34" i="2"/>
  <c r="I34" i="2"/>
  <c r="G34" i="2"/>
  <c r="V31" i="2"/>
  <c r="U31" i="2"/>
  <c r="T31" i="2"/>
  <c r="O31" i="2"/>
  <c r="N31" i="2"/>
  <c r="L31" i="2"/>
  <c r="G31" i="2"/>
  <c r="F31" i="2"/>
  <c r="E31" i="2"/>
  <c r="V27" i="2"/>
  <c r="V36" i="2" s="1"/>
  <c r="U27" i="2"/>
  <c r="U36" i="2" s="1"/>
  <c r="T27" i="2"/>
  <c r="T36" i="2" s="1"/>
  <c r="S27" i="2"/>
  <c r="Q27" i="2"/>
  <c r="P27" i="2"/>
  <c r="P31" i="2" s="1"/>
  <c r="O27" i="2"/>
  <c r="O36" i="2" s="1"/>
  <c r="N27" i="2"/>
  <c r="N36" i="2" s="1"/>
  <c r="L27" i="2"/>
  <c r="K27" i="2"/>
  <c r="J27" i="2"/>
  <c r="I27" i="2"/>
  <c r="I36" i="2" s="1"/>
  <c r="G27" i="2"/>
  <c r="G36" i="2" s="1"/>
  <c r="F27" i="2"/>
  <c r="F36" i="2" s="1"/>
  <c r="E27" i="2"/>
  <c r="E36" i="2" s="1"/>
  <c r="D27" i="2"/>
  <c r="D31" i="2" s="1"/>
  <c r="V10" i="2"/>
  <c r="V39" i="2" s="1"/>
  <c r="V44" i="2" s="1"/>
  <c r="Q10" i="2"/>
  <c r="Q39" i="2" s="1"/>
  <c r="Q40" i="2" s="1"/>
  <c r="P10" i="2"/>
  <c r="P39" i="2" s="1"/>
  <c r="O10" i="2"/>
  <c r="O39" i="2" s="1"/>
  <c r="O44" i="2" s="1"/>
  <c r="J10" i="2"/>
  <c r="I10" i="2"/>
  <c r="I39" i="2" s="1"/>
  <c r="I40" i="2" s="1"/>
  <c r="G10" i="2"/>
  <c r="G39" i="2" s="1"/>
  <c r="G44" i="2" s="1"/>
  <c r="V9" i="2"/>
  <c r="U9" i="2"/>
  <c r="T9" i="2"/>
  <c r="S9" i="2"/>
  <c r="S34" i="2" s="1"/>
  <c r="Q9" i="2"/>
  <c r="Q34" i="2" s="1"/>
  <c r="P9" i="2"/>
  <c r="O9" i="2"/>
  <c r="N9" i="2"/>
  <c r="L9" i="2"/>
  <c r="K9" i="2"/>
  <c r="K34" i="2" s="1"/>
  <c r="J9" i="2"/>
  <c r="J34" i="2" s="1"/>
  <c r="I9" i="2"/>
  <c r="G9" i="2"/>
  <c r="F9" i="2"/>
  <c r="E9" i="2"/>
  <c r="D9" i="2"/>
  <c r="D34" i="2" s="1"/>
  <c r="V8" i="2"/>
  <c r="U8" i="2"/>
  <c r="T8" i="2"/>
  <c r="S8" i="2"/>
  <c r="Q8" i="2"/>
  <c r="P8" i="2"/>
  <c r="O8" i="2"/>
  <c r="N8" i="2"/>
  <c r="L8" i="2"/>
  <c r="K8" i="2"/>
  <c r="J8" i="2"/>
  <c r="I8" i="2"/>
  <c r="G8" i="2"/>
  <c r="F8" i="2"/>
  <c r="E8" i="2"/>
  <c r="D8" i="2"/>
  <c r="V3" i="2"/>
  <c r="U3" i="2"/>
  <c r="T3" i="2"/>
  <c r="S3" i="2"/>
  <c r="Q3" i="2"/>
  <c r="P3" i="2"/>
  <c r="O3" i="2"/>
  <c r="N3" i="2"/>
  <c r="L3" i="2"/>
  <c r="K3" i="2"/>
  <c r="J3" i="2"/>
  <c r="I3" i="2"/>
  <c r="G3" i="2"/>
  <c r="F3" i="2"/>
  <c r="E3" i="2"/>
  <c r="D3" i="2"/>
  <c r="N43" i="1"/>
  <c r="M43" i="1"/>
  <c r="F43" i="1"/>
  <c r="E43" i="1"/>
  <c r="R38" i="1"/>
  <c r="Q38" i="1"/>
  <c r="Q43" i="1" s="1"/>
  <c r="O38" i="1"/>
  <c r="O43" i="1" s="1"/>
  <c r="N38" i="1"/>
  <c r="M38" i="1"/>
  <c r="K38" i="1"/>
  <c r="J38" i="1"/>
  <c r="I38" i="1"/>
  <c r="I43" i="1" s="1"/>
  <c r="G38" i="1"/>
  <c r="G43" i="1" s="1"/>
  <c r="F38" i="1"/>
  <c r="E38" i="1"/>
  <c r="D38" i="1"/>
  <c r="Q36" i="1"/>
  <c r="O36" i="1"/>
  <c r="D33" i="1"/>
  <c r="D34" i="1" s="1"/>
  <c r="R31" i="1"/>
  <c r="Q31" i="1"/>
  <c r="O31" i="1"/>
  <c r="N31" i="1"/>
  <c r="M31" i="1"/>
  <c r="K31" i="1"/>
  <c r="J31" i="1"/>
  <c r="I31" i="1"/>
  <c r="G31" i="1"/>
  <c r="F31" i="1"/>
  <c r="E31" i="1"/>
  <c r="D31" i="1"/>
  <c r="R27" i="1"/>
  <c r="R36" i="1" s="1"/>
  <c r="Q27" i="1"/>
  <c r="O27" i="1"/>
  <c r="N27" i="1"/>
  <c r="N36" i="1" s="1"/>
  <c r="M27" i="1"/>
  <c r="M36" i="1" s="1"/>
  <c r="K27" i="1"/>
  <c r="K36" i="1" s="1"/>
  <c r="J27" i="1"/>
  <c r="J36" i="1" s="1"/>
  <c r="I27" i="1"/>
  <c r="I36" i="1" s="1"/>
  <c r="G27" i="1"/>
  <c r="G36" i="1" s="1"/>
  <c r="F27" i="1"/>
  <c r="F36" i="1" s="1"/>
  <c r="E27" i="1"/>
  <c r="E36" i="1" s="1"/>
  <c r="D27" i="1"/>
  <c r="D36" i="1" s="1"/>
  <c r="R11" i="1"/>
  <c r="R39" i="1" s="1"/>
  <c r="Q11" i="1"/>
  <c r="O11" i="1"/>
  <c r="O39" i="1" s="1"/>
  <c r="O40" i="1" s="1"/>
  <c r="O41" i="1" s="1"/>
  <c r="K11" i="1"/>
  <c r="K39" i="1" s="1"/>
  <c r="J11" i="1"/>
  <c r="J39" i="1" s="1"/>
  <c r="I11" i="1"/>
  <c r="G11" i="1"/>
  <c r="G39" i="1" s="1"/>
  <c r="D11" i="1"/>
  <c r="D39" i="1" s="1"/>
  <c r="R10" i="1"/>
  <c r="Q10" i="1"/>
  <c r="O10" i="1"/>
  <c r="N10" i="1"/>
  <c r="N11" i="1" s="1"/>
  <c r="M10" i="1"/>
  <c r="M11" i="1" s="1"/>
  <c r="K10" i="1"/>
  <c r="J10" i="1"/>
  <c r="I10" i="1"/>
  <c r="G10" i="1"/>
  <c r="F10" i="1"/>
  <c r="F11" i="1" s="1"/>
  <c r="E10" i="1"/>
  <c r="E11" i="1" s="1"/>
  <c r="D10" i="1"/>
  <c r="R9" i="1"/>
  <c r="Q9" i="1"/>
  <c r="O9" i="1"/>
  <c r="N9" i="1"/>
  <c r="M9" i="1"/>
  <c r="K9" i="1"/>
  <c r="J9" i="1"/>
  <c r="I9" i="1"/>
  <c r="G9" i="1"/>
  <c r="F9" i="1"/>
  <c r="E9" i="1"/>
  <c r="D9" i="1"/>
  <c r="G44" i="7" l="1"/>
  <c r="D53" i="7"/>
  <c r="K53" i="7"/>
  <c r="P44" i="7"/>
  <c r="M34" i="7"/>
  <c r="H44" i="7"/>
  <c r="K10" i="7"/>
  <c r="K39" i="7" s="1"/>
  <c r="K44" i="7" s="1"/>
  <c r="I44" i="7"/>
  <c r="E53" i="7"/>
  <c r="D44" i="7"/>
  <c r="D31" i="7"/>
  <c r="E44" i="7"/>
  <c r="L44" i="7"/>
  <c r="H31" i="7"/>
  <c r="K31" i="7"/>
  <c r="O31" i="7"/>
  <c r="E40" i="7"/>
  <c r="L40" i="7"/>
  <c r="F36" i="7"/>
  <c r="G45" i="7"/>
  <c r="N45" i="7"/>
  <c r="M36" i="7"/>
  <c r="H43" i="7"/>
  <c r="H40" i="7"/>
  <c r="O43" i="7"/>
  <c r="O45" i="7" s="1"/>
  <c r="O40" i="7"/>
  <c r="I40" i="7"/>
  <c r="P40" i="7"/>
  <c r="F44" i="7"/>
  <c r="F45" i="7" s="1"/>
  <c r="F40" i="7"/>
  <c r="M40" i="7"/>
  <c r="M44" i="7"/>
  <c r="M45" i="7" s="1"/>
  <c r="D40" i="7"/>
  <c r="I31" i="7"/>
  <c r="P31" i="7"/>
  <c r="G36" i="7"/>
  <c r="N36" i="7"/>
  <c r="G40" i="7"/>
  <c r="N40" i="7"/>
  <c r="I43" i="7"/>
  <c r="I45" i="7" s="1"/>
  <c r="P43" i="7"/>
  <c r="P45" i="7" s="1"/>
  <c r="D43" i="7"/>
  <c r="K43" i="7"/>
  <c r="E31" i="7"/>
  <c r="L31" i="7"/>
  <c r="E43" i="7"/>
  <c r="L43" i="7"/>
  <c r="BD53" i="6"/>
  <c r="BC53" i="6"/>
  <c r="BC44" i="6"/>
  <c r="BB53" i="6"/>
  <c r="BA53" i="6"/>
  <c r="AY53" i="6"/>
  <c r="AX53" i="6"/>
  <c r="AW53" i="6"/>
  <c r="AW44" i="6"/>
  <c r="AV53" i="6"/>
  <c r="AU53" i="6"/>
  <c r="AS31" i="6"/>
  <c r="AR53" i="6"/>
  <c r="AQ53" i="6"/>
  <c r="AP53" i="6"/>
  <c r="AO53" i="6"/>
  <c r="AM53" i="6"/>
  <c r="AL53" i="6"/>
  <c r="AK53" i="6"/>
  <c r="AI53" i="6"/>
  <c r="AF53" i="6"/>
  <c r="AB53" i="6"/>
  <c r="AA53" i="6"/>
  <c r="Z53" i="6"/>
  <c r="Y53" i="6"/>
  <c r="W53" i="6"/>
  <c r="V53" i="6"/>
  <c r="U53" i="6"/>
  <c r="T53" i="6"/>
  <c r="S31" i="6"/>
  <c r="S53" i="6"/>
  <c r="S44" i="6"/>
  <c r="R53" i="6"/>
  <c r="Q53" i="6"/>
  <c r="M53" i="6"/>
  <c r="L44" i="6"/>
  <c r="K53" i="6"/>
  <c r="J53" i="6"/>
  <c r="I31" i="6"/>
  <c r="H53" i="6"/>
  <c r="G53" i="6"/>
  <c r="D44" i="6"/>
  <c r="AE44" i="6"/>
  <c r="AE53" i="6"/>
  <c r="D53" i="6"/>
  <c r="AG40" i="6"/>
  <c r="AS40" i="6"/>
  <c r="AY40" i="6"/>
  <c r="AH40" i="6"/>
  <c r="AN40" i="6"/>
  <c r="AT40" i="6"/>
  <c r="AZ40" i="6"/>
  <c r="J31" i="6"/>
  <c r="AY31" i="6"/>
  <c r="AF44" i="6"/>
  <c r="AF45" i="6" s="1"/>
  <c r="AL44" i="6"/>
  <c r="AL45" i="6" s="1"/>
  <c r="AR44" i="6"/>
  <c r="AR45" i="6" s="1"/>
  <c r="AX44" i="6"/>
  <c r="BD44" i="6"/>
  <c r="BD45" i="6" s="1"/>
  <c r="K31" i="6"/>
  <c r="AG44" i="6"/>
  <c r="AM44" i="6"/>
  <c r="AM45" i="6" s="1"/>
  <c r="AS44" i="6"/>
  <c r="AY44" i="6"/>
  <c r="AI40" i="6"/>
  <c r="L31" i="6"/>
  <c r="AH44" i="6"/>
  <c r="AN44" i="6"/>
  <c r="AT44" i="6"/>
  <c r="AZ44" i="6"/>
  <c r="AO40" i="6"/>
  <c r="D31" i="6"/>
  <c r="P31" i="6"/>
  <c r="AG31" i="6"/>
  <c r="AI44" i="6"/>
  <c r="AI45" i="6" s="1"/>
  <c r="AO44" i="6"/>
  <c r="AO45" i="6" s="1"/>
  <c r="AU44" i="6"/>
  <c r="AU45" i="6" s="1"/>
  <c r="BA44" i="6"/>
  <c r="BA45" i="6" s="1"/>
  <c r="AU40" i="6"/>
  <c r="E31" i="6"/>
  <c r="Q31" i="6"/>
  <c r="AM31" i="6"/>
  <c r="AJ44" i="6"/>
  <c r="AJ45" i="6" s="1"/>
  <c r="AP44" i="6"/>
  <c r="AP45" i="6" s="1"/>
  <c r="AV44" i="6"/>
  <c r="AV45" i="6" s="1"/>
  <c r="BB44" i="6"/>
  <c r="BB45" i="6" s="1"/>
  <c r="BA40" i="6"/>
  <c r="AE45" i="6"/>
  <c r="AK45" i="6"/>
  <c r="AQ45" i="6"/>
  <c r="AW45" i="6"/>
  <c r="BC45" i="6"/>
  <c r="AX45" i="6"/>
  <c r="AU36" i="6"/>
  <c r="AY43" i="6"/>
  <c r="AH31" i="6"/>
  <c r="AN31" i="6"/>
  <c r="AT31" i="6"/>
  <c r="AZ31" i="6"/>
  <c r="AJ36" i="6"/>
  <c r="AP36" i="6"/>
  <c r="AV36" i="6"/>
  <c r="BB36" i="6"/>
  <c r="AJ40" i="6"/>
  <c r="AP40" i="6"/>
  <c r="AV40" i="6"/>
  <c r="BB40" i="6"/>
  <c r="AH43" i="6"/>
  <c r="AN43" i="6"/>
  <c r="AT43" i="6"/>
  <c r="AT45" i="6" s="1"/>
  <c r="AZ43" i="6"/>
  <c r="AI31" i="6"/>
  <c r="AO31" i="6"/>
  <c r="BA31" i="6"/>
  <c r="AE36" i="6"/>
  <c r="AK36" i="6"/>
  <c r="AQ36" i="6"/>
  <c r="AW36" i="6"/>
  <c r="BC36" i="6"/>
  <c r="AE40" i="6"/>
  <c r="AK40" i="6"/>
  <c r="AQ40" i="6"/>
  <c r="AW40" i="6"/>
  <c r="BC40" i="6"/>
  <c r="AS43" i="6"/>
  <c r="AF36" i="6"/>
  <c r="AL36" i="6"/>
  <c r="AR36" i="6"/>
  <c r="AX36" i="6"/>
  <c r="BD36" i="6"/>
  <c r="AF40" i="6"/>
  <c r="AL40" i="6"/>
  <c r="AR40" i="6"/>
  <c r="AX40" i="6"/>
  <c r="BD40" i="6"/>
  <c r="AG43" i="6"/>
  <c r="AM40" i="6"/>
  <c r="X10" i="6"/>
  <c r="X39" i="6" s="1"/>
  <c r="X44" i="6" s="1"/>
  <c r="X45" i="6" s="1"/>
  <c r="W10" i="6"/>
  <c r="W39" i="6" s="1"/>
  <c r="W40" i="6" s="1"/>
  <c r="U10" i="6"/>
  <c r="U39" i="6" s="1"/>
  <c r="U40" i="6" s="1"/>
  <c r="T10" i="6"/>
  <c r="T39" i="6" s="1"/>
  <c r="R10" i="6"/>
  <c r="R39" i="6" s="1"/>
  <c r="O10" i="6"/>
  <c r="O39" i="6" s="1"/>
  <c r="N10" i="6"/>
  <c r="N39" i="6" s="1"/>
  <c r="N44" i="6" s="1"/>
  <c r="N45" i="6" s="1"/>
  <c r="M10" i="6"/>
  <c r="M39" i="6" s="1"/>
  <c r="M44" i="6" s="1"/>
  <c r="M45" i="6" s="1"/>
  <c r="L40" i="6"/>
  <c r="K40" i="6"/>
  <c r="H10" i="6"/>
  <c r="H39" i="6" s="1"/>
  <c r="H40" i="6" s="1"/>
  <c r="G10" i="6"/>
  <c r="G39" i="6" s="1"/>
  <c r="F34" i="6"/>
  <c r="F44" i="6" s="1"/>
  <c r="F45" i="6" s="1"/>
  <c r="E40" i="6"/>
  <c r="E34" i="6"/>
  <c r="E44" i="6" s="1"/>
  <c r="D40" i="6"/>
  <c r="AA44" i="6"/>
  <c r="AA40" i="6"/>
  <c r="AA45" i="6"/>
  <c r="AA31" i="6"/>
  <c r="AB40" i="6"/>
  <c r="AB44" i="6"/>
  <c r="AB45" i="6" s="1"/>
  <c r="AB31" i="6"/>
  <c r="AC44" i="6"/>
  <c r="AC45" i="6" s="1"/>
  <c r="AC40" i="6"/>
  <c r="AC31" i="6"/>
  <c r="Z40" i="6"/>
  <c r="Z44" i="6"/>
  <c r="Z45" i="6"/>
  <c r="Z36" i="6"/>
  <c r="Y44" i="6"/>
  <c r="Y45" i="6" s="1"/>
  <c r="Y40" i="6"/>
  <c r="Y31" i="6"/>
  <c r="X40" i="6"/>
  <c r="X31" i="6"/>
  <c r="W44" i="6"/>
  <c r="W45" i="6" s="1"/>
  <c r="W31" i="6"/>
  <c r="T44" i="6"/>
  <c r="T45" i="6" s="1"/>
  <c r="T40" i="6"/>
  <c r="T31" i="6"/>
  <c r="R44" i="6"/>
  <c r="R45" i="6" s="1"/>
  <c r="R40" i="6"/>
  <c r="R31" i="6"/>
  <c r="M31" i="6"/>
  <c r="H44" i="6"/>
  <c r="H45" i="6" s="1"/>
  <c r="H31" i="6"/>
  <c r="F40" i="6"/>
  <c r="G44" i="6"/>
  <c r="G45" i="6" s="1"/>
  <c r="G40" i="6"/>
  <c r="V44" i="6"/>
  <c r="V45" i="6" s="1"/>
  <c r="V40" i="6"/>
  <c r="N40" i="6"/>
  <c r="S40" i="6"/>
  <c r="O40" i="6"/>
  <c r="O44" i="6"/>
  <c r="O45" i="6" s="1"/>
  <c r="N36" i="6"/>
  <c r="O36" i="6"/>
  <c r="V36" i="6"/>
  <c r="D43" i="6"/>
  <c r="D45" i="6" s="1"/>
  <c r="K43" i="6"/>
  <c r="K45" i="6" s="1"/>
  <c r="S43" i="6"/>
  <c r="S45" i="6" s="1"/>
  <c r="Q43" i="6"/>
  <c r="E43" i="6"/>
  <c r="L43" i="6"/>
  <c r="L45" i="6" s="1"/>
  <c r="G36" i="6"/>
  <c r="I10" i="6"/>
  <c r="I39" i="6" s="1"/>
  <c r="I44" i="6" s="1"/>
  <c r="I45" i="6" s="1"/>
  <c r="P10" i="6"/>
  <c r="P39" i="6" s="1"/>
  <c r="P44" i="6" s="1"/>
  <c r="P45" i="6" s="1"/>
  <c r="F31" i="6"/>
  <c r="U31" i="6"/>
  <c r="J10" i="6"/>
  <c r="J39" i="6" s="1"/>
  <c r="J44" i="6" s="1"/>
  <c r="J45" i="6" s="1"/>
  <c r="Q10" i="6"/>
  <c r="Q39" i="6" s="1"/>
  <c r="Q44" i="6" s="1"/>
  <c r="D53" i="4"/>
  <c r="G53" i="4"/>
  <c r="J53" i="4"/>
  <c r="T53" i="4"/>
  <c r="F53" i="4"/>
  <c r="E53" i="4"/>
  <c r="N53" i="4"/>
  <c r="O53" i="4"/>
  <c r="P53" i="4"/>
  <c r="Q53" i="4"/>
  <c r="L53" i="4"/>
  <c r="I53" i="4"/>
  <c r="S53" i="4"/>
  <c r="K53" i="4"/>
  <c r="U53" i="4"/>
  <c r="V53" i="4"/>
  <c r="N10" i="4"/>
  <c r="N39" i="4" s="1"/>
  <c r="N44" i="4" s="1"/>
  <c r="N45" i="4" s="1"/>
  <c r="B101" i="4"/>
  <c r="G10" i="3"/>
  <c r="G39" i="3" s="1"/>
  <c r="G44" i="3" s="1"/>
  <c r="G45" i="3" s="1"/>
  <c r="O10" i="3"/>
  <c r="O39" i="3" s="1"/>
  <c r="L10" i="3"/>
  <c r="L39" i="3" s="1"/>
  <c r="L44" i="3" s="1"/>
  <c r="N10" i="3"/>
  <c r="N39" i="3" s="1"/>
  <c r="N44" i="3" s="1"/>
  <c r="N45" i="3" s="1"/>
  <c r="S31" i="3"/>
  <c r="T31" i="3"/>
  <c r="F34" i="3"/>
  <c r="E127" i="3" s="1"/>
  <c r="C68" i="3"/>
  <c r="T34" i="3"/>
  <c r="D130" i="3" s="1"/>
  <c r="U34" i="3"/>
  <c r="E130" i="3" s="1"/>
  <c r="V10" i="3"/>
  <c r="V39" i="3" s="1"/>
  <c r="U40" i="3"/>
  <c r="E89" i="3" s="1"/>
  <c r="L31" i="3"/>
  <c r="D31" i="3"/>
  <c r="T44" i="3"/>
  <c r="T45" i="3" s="1"/>
  <c r="D10" i="3"/>
  <c r="D39" i="3" s="1"/>
  <c r="D44" i="3" s="1"/>
  <c r="D70" i="3"/>
  <c r="K34" i="3"/>
  <c r="E128" i="3" s="1"/>
  <c r="C67" i="3"/>
  <c r="D67" i="3"/>
  <c r="E31" i="3"/>
  <c r="I31" i="3"/>
  <c r="K31" i="3"/>
  <c r="C70" i="3"/>
  <c r="J31" i="4"/>
  <c r="V34" i="4"/>
  <c r="O135" i="4" s="1"/>
  <c r="T31" i="4"/>
  <c r="S10" i="4"/>
  <c r="S39" i="4" s="1"/>
  <c r="S44" i="4" s="1"/>
  <c r="D36" i="4"/>
  <c r="C132" i="4" s="1"/>
  <c r="E36" i="4"/>
  <c r="D132" i="4" s="1"/>
  <c r="G34" i="4"/>
  <c r="O132" i="4" s="1"/>
  <c r="D102" i="4"/>
  <c r="G40" i="4"/>
  <c r="O101" i="4" s="1"/>
  <c r="K36" i="4"/>
  <c r="E133" i="4" s="1"/>
  <c r="L36" i="4"/>
  <c r="F133" i="4" s="1"/>
  <c r="S36" i="4"/>
  <c r="C135" i="4" s="1"/>
  <c r="B104" i="4"/>
  <c r="U34" i="4"/>
  <c r="N135" i="4" s="1"/>
  <c r="L34" i="4"/>
  <c r="O133" i="4" s="1"/>
  <c r="F34" i="4"/>
  <c r="N132" i="4" s="1"/>
  <c r="T34" i="4"/>
  <c r="M135" i="4" s="1"/>
  <c r="O10" i="4"/>
  <c r="O39" i="4" s="1"/>
  <c r="O44" i="4" s="1"/>
  <c r="O45" i="4" s="1"/>
  <c r="E10" i="4"/>
  <c r="E39" i="4" s="1"/>
  <c r="E40" i="4" s="1"/>
  <c r="M101" i="4" s="1"/>
  <c r="E39" i="1"/>
  <c r="E33" i="1"/>
  <c r="E34" i="1" s="1"/>
  <c r="F33" i="1"/>
  <c r="F34" i="1" s="1"/>
  <c r="F39" i="1"/>
  <c r="F44" i="1" s="1"/>
  <c r="F45" i="1" s="1"/>
  <c r="F46" i="1" s="1"/>
  <c r="N33" i="1"/>
  <c r="N34" i="1" s="1"/>
  <c r="N39" i="1"/>
  <c r="N44" i="1" s="1"/>
  <c r="M33" i="1"/>
  <c r="M34" i="1" s="1"/>
  <c r="M39" i="1"/>
  <c r="M44" i="1" s="1"/>
  <c r="O33" i="1"/>
  <c r="O34" i="1" s="1"/>
  <c r="E34" i="2"/>
  <c r="E10" i="2"/>
  <c r="E39" i="2" s="1"/>
  <c r="L34" i="2"/>
  <c r="L10" i="2"/>
  <c r="L39" i="2" s="1"/>
  <c r="L44" i="2" s="1"/>
  <c r="L45" i="2" s="1"/>
  <c r="T34" i="2"/>
  <c r="T10" i="2"/>
  <c r="T39" i="2" s="1"/>
  <c r="R33" i="1"/>
  <c r="R34" i="1" s="1"/>
  <c r="G40" i="1"/>
  <c r="G41" i="1" s="1"/>
  <c r="M45" i="1"/>
  <c r="M46" i="1" s="1"/>
  <c r="F34" i="2"/>
  <c r="F10" i="2"/>
  <c r="F39" i="2" s="1"/>
  <c r="N34" i="2"/>
  <c r="N10" i="2"/>
  <c r="N39" i="2" s="1"/>
  <c r="N44" i="2" s="1"/>
  <c r="U34" i="2"/>
  <c r="U10" i="2"/>
  <c r="U39" i="2" s="1"/>
  <c r="P44" i="2"/>
  <c r="S40" i="2"/>
  <c r="O45" i="2"/>
  <c r="N40" i="4"/>
  <c r="L103" i="4" s="1"/>
  <c r="R40" i="1"/>
  <c r="R41" i="1" s="1"/>
  <c r="R43" i="1"/>
  <c r="N45" i="1"/>
  <c r="N46" i="1" s="1"/>
  <c r="E40" i="2"/>
  <c r="T43" i="2"/>
  <c r="T40" i="2"/>
  <c r="D101" i="4"/>
  <c r="F31" i="4"/>
  <c r="F36" i="4"/>
  <c r="E132" i="4" s="1"/>
  <c r="B103" i="4"/>
  <c r="N31" i="4"/>
  <c r="N36" i="4"/>
  <c r="C134" i="4" s="1"/>
  <c r="D104" i="4"/>
  <c r="U31" i="4"/>
  <c r="U36" i="4"/>
  <c r="E135" i="4" s="1"/>
  <c r="J33" i="1"/>
  <c r="J34" i="1" s="1"/>
  <c r="D43" i="1"/>
  <c r="D45" i="1" s="1"/>
  <c r="D46" i="1" s="1"/>
  <c r="D40" i="1"/>
  <c r="D41" i="1" s="1"/>
  <c r="K43" i="1"/>
  <c r="K40" i="1"/>
  <c r="K41" i="1" s="1"/>
  <c r="J36" i="2"/>
  <c r="J31" i="2"/>
  <c r="Q36" i="2"/>
  <c r="Q31" i="2"/>
  <c r="F40" i="2"/>
  <c r="N43" i="2"/>
  <c r="U40" i="2"/>
  <c r="U43" i="2"/>
  <c r="L40" i="2"/>
  <c r="D44" i="1"/>
  <c r="K33" i="1"/>
  <c r="K34" i="1" s="1"/>
  <c r="E40" i="1"/>
  <c r="E41" i="1" s="1"/>
  <c r="M40" i="1"/>
  <c r="M41" i="1" s="1"/>
  <c r="K36" i="2"/>
  <c r="K31" i="2"/>
  <c r="S31" i="2"/>
  <c r="S36" i="2"/>
  <c r="D36" i="2"/>
  <c r="V45" i="2"/>
  <c r="P40" i="2"/>
  <c r="I44" i="2"/>
  <c r="I34" i="3"/>
  <c r="C128" i="3" s="1"/>
  <c r="I10" i="3"/>
  <c r="I39" i="3" s="1"/>
  <c r="P34" i="3"/>
  <c r="E129" i="3" s="1"/>
  <c r="P10" i="3"/>
  <c r="P39" i="3" s="1"/>
  <c r="P44" i="3" s="1"/>
  <c r="J43" i="3"/>
  <c r="Q43" i="3"/>
  <c r="F40" i="3"/>
  <c r="E86" i="3" s="1"/>
  <c r="F44" i="3"/>
  <c r="F45" i="3" s="1"/>
  <c r="F40" i="4"/>
  <c r="N101" i="4" s="1"/>
  <c r="U40" i="4"/>
  <c r="N104" i="4" s="1"/>
  <c r="I33" i="1"/>
  <c r="I34" i="1" s="1"/>
  <c r="I39" i="1"/>
  <c r="Q33" i="1"/>
  <c r="Q34" i="1" s="1"/>
  <c r="Q39" i="1"/>
  <c r="J44" i="1"/>
  <c r="R44" i="1"/>
  <c r="G33" i="1"/>
  <c r="G34" i="1" s="1"/>
  <c r="J40" i="1"/>
  <c r="J41" i="1" s="1"/>
  <c r="J43" i="1"/>
  <c r="J45" i="1" s="1"/>
  <c r="J46" i="1" s="1"/>
  <c r="F40" i="1"/>
  <c r="F41" i="1" s="1"/>
  <c r="N40" i="1"/>
  <c r="N41" i="1" s="1"/>
  <c r="I45" i="2"/>
  <c r="P45" i="2"/>
  <c r="J44" i="2"/>
  <c r="J45" i="2" s="1"/>
  <c r="J40" i="2"/>
  <c r="E43" i="2"/>
  <c r="Q44" i="2"/>
  <c r="Q45" i="2" s="1"/>
  <c r="V40" i="3"/>
  <c r="F89" i="3" s="1"/>
  <c r="V44" i="3"/>
  <c r="V45" i="3" s="1"/>
  <c r="D68" i="3"/>
  <c r="J31" i="3"/>
  <c r="F69" i="3"/>
  <c r="Q36" i="3"/>
  <c r="F109" i="3" s="1"/>
  <c r="D43" i="3"/>
  <c r="K40" i="3"/>
  <c r="E87" i="3" s="1"/>
  <c r="S43" i="3"/>
  <c r="O44" i="3"/>
  <c r="O45" i="3" s="1"/>
  <c r="O40" i="3"/>
  <c r="D88" i="3" s="1"/>
  <c r="K34" i="4"/>
  <c r="N133" i="4" s="1"/>
  <c r="K10" i="4"/>
  <c r="K39" i="4" s="1"/>
  <c r="K40" i="4" s="1"/>
  <c r="N102" i="4" s="1"/>
  <c r="D34" i="4"/>
  <c r="L132" i="4" s="1"/>
  <c r="D10" i="2"/>
  <c r="D39" i="2" s="1"/>
  <c r="K10" i="2"/>
  <c r="K39" i="2" s="1"/>
  <c r="K44" i="2" s="1"/>
  <c r="S10" i="2"/>
  <c r="S39" i="2" s="1"/>
  <c r="S44" i="2" s="1"/>
  <c r="S45" i="2" s="1"/>
  <c r="I31" i="2"/>
  <c r="K43" i="2"/>
  <c r="S10" i="3"/>
  <c r="S39" i="3" s="1"/>
  <c r="S44" i="3" s="1"/>
  <c r="E67" i="3"/>
  <c r="F31" i="3"/>
  <c r="C69" i="3"/>
  <c r="N31" i="3"/>
  <c r="E70" i="3"/>
  <c r="U31" i="3"/>
  <c r="F36" i="3"/>
  <c r="E107" i="3" s="1"/>
  <c r="P36" i="3"/>
  <c r="E109" i="3" s="1"/>
  <c r="P43" i="3"/>
  <c r="P31" i="4"/>
  <c r="I36" i="4"/>
  <c r="C133" i="4" s="1"/>
  <c r="I43" i="4"/>
  <c r="B102" i="4"/>
  <c r="F67" i="3"/>
  <c r="G31" i="3"/>
  <c r="D69" i="3"/>
  <c r="O31" i="3"/>
  <c r="F70" i="3"/>
  <c r="V31" i="3"/>
  <c r="E34" i="3"/>
  <c r="D127" i="3" s="1"/>
  <c r="G36" i="3"/>
  <c r="F107" i="3" s="1"/>
  <c r="Q31" i="4"/>
  <c r="J36" i="4"/>
  <c r="D133" i="4" s="1"/>
  <c r="J43" i="4"/>
  <c r="P31" i="3"/>
  <c r="U36" i="3"/>
  <c r="E110" i="3" s="1"/>
  <c r="I34" i="4"/>
  <c r="L133" i="4" s="1"/>
  <c r="I10" i="4"/>
  <c r="I39" i="4" s="1"/>
  <c r="P34" i="4"/>
  <c r="N134" i="4" s="1"/>
  <c r="P10" i="4"/>
  <c r="P39" i="4" s="1"/>
  <c r="D40" i="4"/>
  <c r="L101" i="4" s="1"/>
  <c r="K43" i="4"/>
  <c r="J34" i="4"/>
  <c r="M133" i="4" s="1"/>
  <c r="J10" i="4"/>
  <c r="J39" i="4" s="1"/>
  <c r="J40" i="4" s="1"/>
  <c r="M102" i="4" s="1"/>
  <c r="Q34" i="4"/>
  <c r="O134" i="4" s="1"/>
  <c r="Q10" i="4"/>
  <c r="Q39" i="4" s="1"/>
  <c r="E43" i="4"/>
  <c r="L40" i="4"/>
  <c r="O102" i="4" s="1"/>
  <c r="L43" i="4"/>
  <c r="T40" i="4"/>
  <c r="M104" i="4" s="1"/>
  <c r="D103" i="4"/>
  <c r="V40" i="4"/>
  <c r="O104" i="4" s="1"/>
  <c r="Q43" i="4"/>
  <c r="E103" i="4"/>
  <c r="G40" i="2"/>
  <c r="O40" i="2"/>
  <c r="V40" i="2"/>
  <c r="G43" i="2"/>
  <c r="G45" i="2" s="1"/>
  <c r="J34" i="3"/>
  <c r="D128" i="3" s="1"/>
  <c r="J10" i="3"/>
  <c r="J39" i="3" s="1"/>
  <c r="Q34" i="3"/>
  <c r="F129" i="3" s="1"/>
  <c r="Q10" i="3"/>
  <c r="Q39" i="3" s="1"/>
  <c r="O36" i="3"/>
  <c r="D109" i="3" s="1"/>
  <c r="E40" i="3"/>
  <c r="D86" i="3" s="1"/>
  <c r="T40" i="3"/>
  <c r="D89" i="3" s="1"/>
  <c r="L43" i="3"/>
  <c r="E101" i="4"/>
  <c r="G31" i="4"/>
  <c r="C103" i="4"/>
  <c r="O31" i="4"/>
  <c r="E104" i="4"/>
  <c r="V31" i="4"/>
  <c r="G36" i="4"/>
  <c r="F132" i="4" s="1"/>
  <c r="D43" i="4"/>
  <c r="S43" i="4"/>
  <c r="T43" i="4"/>
  <c r="C101" i="4"/>
  <c r="E102" i="4"/>
  <c r="C104" i="4"/>
  <c r="H45" i="7" l="1"/>
  <c r="K40" i="7"/>
  <c r="L45" i="7"/>
  <c r="E45" i="7"/>
  <c r="K45" i="7"/>
  <c r="D45" i="7"/>
  <c r="AS45" i="6"/>
  <c r="AN45" i="6"/>
  <c r="AG45" i="6"/>
  <c r="M40" i="6"/>
  <c r="P40" i="6"/>
  <c r="U44" i="6"/>
  <c r="U45" i="6" s="1"/>
  <c r="J40" i="6"/>
  <c r="AZ45" i="6"/>
  <c r="AH45" i="6"/>
  <c r="AY45" i="6"/>
  <c r="Q40" i="6"/>
  <c r="Q45" i="6"/>
  <c r="I40" i="6"/>
  <c r="E45" i="6"/>
  <c r="E44" i="4"/>
  <c r="S40" i="4"/>
  <c r="L104" i="4" s="1"/>
  <c r="F44" i="4"/>
  <c r="F45" i="4" s="1"/>
  <c r="G44" i="4"/>
  <c r="G45" i="4" s="1"/>
  <c r="V44" i="4"/>
  <c r="V45" i="4" s="1"/>
  <c r="G40" i="3"/>
  <c r="F86" i="3" s="1"/>
  <c r="N40" i="3"/>
  <c r="C88" i="3" s="1"/>
  <c r="L40" i="3"/>
  <c r="F87" i="3" s="1"/>
  <c r="J44" i="3"/>
  <c r="J45" i="3" s="1"/>
  <c r="U44" i="3"/>
  <c r="U45" i="3" s="1"/>
  <c r="D40" i="3"/>
  <c r="C86" i="3" s="1"/>
  <c r="Q44" i="3"/>
  <c r="J40" i="3"/>
  <c r="D87" i="3" s="1"/>
  <c r="K44" i="3"/>
  <c r="K45" i="3" s="1"/>
  <c r="L45" i="3"/>
  <c r="D45" i="3"/>
  <c r="U44" i="4"/>
  <c r="U45" i="4" s="1"/>
  <c r="I44" i="4"/>
  <c r="I45" i="4" s="1"/>
  <c r="Q44" i="4"/>
  <c r="Q45" i="4" s="1"/>
  <c r="O40" i="4"/>
  <c r="M103" i="4" s="1"/>
  <c r="S45" i="4"/>
  <c r="L44" i="4"/>
  <c r="L45" i="4" s="1"/>
  <c r="E45" i="4"/>
  <c r="P44" i="4"/>
  <c r="P45" i="4" s="1"/>
  <c r="T44" i="4"/>
  <c r="T45" i="4" s="1"/>
  <c r="Q40" i="4"/>
  <c r="O103" i="4" s="1"/>
  <c r="D44" i="2"/>
  <c r="D45" i="2" s="1"/>
  <c r="D40" i="2"/>
  <c r="I40" i="1"/>
  <c r="I41" i="1" s="1"/>
  <c r="I44" i="1"/>
  <c r="I45" i="1" s="1"/>
  <c r="I46" i="1" s="1"/>
  <c r="S45" i="3"/>
  <c r="U45" i="2"/>
  <c r="K40" i="2"/>
  <c r="J44" i="4"/>
  <c r="J45" i="4" s="1"/>
  <c r="K45" i="2"/>
  <c r="K44" i="4"/>
  <c r="K45" i="4" s="1"/>
  <c r="S40" i="3"/>
  <c r="C89" i="3" s="1"/>
  <c r="Q45" i="3"/>
  <c r="F44" i="2"/>
  <c r="F45" i="2" s="1"/>
  <c r="E44" i="2"/>
  <c r="E45" i="2" s="1"/>
  <c r="E44" i="1"/>
  <c r="E45" i="1" s="1"/>
  <c r="E46" i="1" s="1"/>
  <c r="Q40" i="3"/>
  <c r="F88" i="3" s="1"/>
  <c r="I44" i="3"/>
  <c r="I45" i="3" s="1"/>
  <c r="I40" i="3"/>
  <c r="C87" i="3" s="1"/>
  <c r="N45" i="2"/>
  <c r="P40" i="4"/>
  <c r="N103" i="4" s="1"/>
  <c r="G44" i="1"/>
  <c r="G45" i="1" s="1"/>
  <c r="G46" i="1" s="1"/>
  <c r="P45" i="3"/>
  <c r="D44" i="4"/>
  <c r="D45" i="4" s="1"/>
  <c r="K44" i="1"/>
  <c r="K45" i="1" s="1"/>
  <c r="K46" i="1" s="1"/>
  <c r="Q40" i="1"/>
  <c r="Q41" i="1" s="1"/>
  <c r="Q44" i="1"/>
  <c r="Q45" i="1" s="1"/>
  <c r="Q46" i="1" s="1"/>
  <c r="P40" i="3"/>
  <c r="E88" i="3" s="1"/>
  <c r="N40" i="2"/>
  <c r="I40" i="4"/>
  <c r="L102" i="4" s="1"/>
  <c r="R45" i="1"/>
  <c r="R46" i="1" s="1"/>
  <c r="U44" i="2"/>
  <c r="O44" i="1"/>
  <c r="O45" i="1" s="1"/>
  <c r="O46" i="1" s="1"/>
  <c r="T44" i="2"/>
  <c r="T45" i="2" s="1"/>
  <c r="E44" i="3"/>
  <c r="E45" i="3" s="1"/>
</calcChain>
</file>

<file path=xl/sharedStrings.xml><?xml version="1.0" encoding="utf-8"?>
<sst xmlns="http://schemas.openxmlformats.org/spreadsheetml/2006/main" count="655" uniqueCount="121">
  <si>
    <t>basis: MOLAR FLOWS</t>
  </si>
  <si>
    <t>Temperatura (K) =</t>
  </si>
  <si>
    <t>Pressão (bar) =</t>
  </si>
  <si>
    <t>SYNGAS Flow (mol/s) IN =</t>
  </si>
  <si>
    <t>Molar Flow (mol/s) OUT =</t>
  </si>
  <si>
    <r>
      <rPr>
        <sz val="10"/>
        <rFont val="Arial"/>
        <family val="2"/>
        <charset val="1"/>
      </rPr>
      <t>H</t>
    </r>
    <r>
      <rPr>
        <vertAlign val="subscript"/>
        <sz val="10"/>
        <rFont val="Arial"/>
        <family val="2"/>
        <charset val="1"/>
      </rPr>
      <t xml:space="preserve">2 </t>
    </r>
    <r>
      <rPr>
        <b/>
        <sz val="10"/>
        <rFont val="Arial"/>
        <family val="2"/>
        <charset val="1"/>
      </rPr>
      <t xml:space="preserve">: </t>
    </r>
    <r>
      <rPr>
        <sz val="10"/>
        <rFont val="Arial"/>
        <family val="2"/>
        <charset val="1"/>
      </rPr>
      <t>CO =</t>
    </r>
  </si>
  <si>
    <r>
      <rPr>
        <sz val="10"/>
        <rFont val="Arial"/>
        <family val="2"/>
        <charset val="1"/>
      </rPr>
      <t>H</t>
    </r>
    <r>
      <rPr>
        <vertAlign val="subscript"/>
        <sz val="10"/>
        <rFont val="Arial"/>
        <family val="2"/>
        <charset val="1"/>
      </rPr>
      <t>2</t>
    </r>
    <r>
      <rPr>
        <sz val="10"/>
        <rFont val="Arial"/>
        <family val="2"/>
        <charset val="1"/>
      </rPr>
      <t xml:space="preserve"> (fração molar) =</t>
    </r>
  </si>
  <si>
    <t>CO (fração molar) =</t>
  </si>
  <si>
    <r>
      <rPr>
        <sz val="10"/>
        <rFont val="Arial"/>
        <family val="2"/>
        <charset val="1"/>
      </rPr>
      <t>F</t>
    </r>
    <r>
      <rPr>
        <vertAlign val="subscript"/>
        <sz val="10"/>
        <rFont val="Arial"/>
        <family val="2"/>
        <charset val="1"/>
      </rPr>
      <t>CO,in</t>
    </r>
    <r>
      <rPr>
        <sz val="10"/>
        <rFont val="Arial"/>
        <family val="2"/>
        <charset val="1"/>
      </rPr>
      <t xml:space="preserve">  (mol/s)</t>
    </r>
  </si>
  <si>
    <t>Wcat_total (kg)=</t>
  </si>
  <si>
    <t>15 kg</t>
  </si>
  <si>
    <t>25 kg</t>
  </si>
  <si>
    <t>35 kg</t>
  </si>
  <si>
    <t>50 kg</t>
  </si>
  <si>
    <t>mol/s</t>
  </si>
  <si>
    <r>
      <rPr>
        <sz val="10"/>
        <rFont val="Arial"/>
        <family val="2"/>
        <charset val="1"/>
      </rPr>
      <t>F</t>
    </r>
    <r>
      <rPr>
        <vertAlign val="subscript"/>
        <sz val="10"/>
        <rFont val="Arial"/>
        <family val="2"/>
        <charset val="1"/>
      </rPr>
      <t>CO,out</t>
    </r>
    <r>
      <rPr>
        <sz val="10"/>
        <rFont val="Arial"/>
        <family val="2"/>
        <charset val="1"/>
      </rPr>
      <t xml:space="preserve">  (mol/s)</t>
    </r>
  </si>
  <si>
    <r>
      <rPr>
        <sz val="10"/>
        <rFont val="Arial"/>
        <family val="2"/>
        <charset val="1"/>
      </rPr>
      <t>H</t>
    </r>
    <r>
      <rPr>
        <vertAlign val="subscript"/>
        <sz val="10"/>
        <rFont val="Arial"/>
        <family val="2"/>
        <charset val="1"/>
      </rPr>
      <t>2</t>
    </r>
  </si>
  <si>
    <r>
      <rPr>
        <sz val="10"/>
        <rFont val="Arial"/>
        <family val="2"/>
        <charset val="1"/>
      </rPr>
      <t>H</t>
    </r>
    <r>
      <rPr>
        <vertAlign val="subscript"/>
        <sz val="10"/>
        <rFont val="Arial"/>
        <family val="2"/>
        <charset val="1"/>
      </rPr>
      <t>2</t>
    </r>
    <r>
      <rPr>
        <sz val="10"/>
        <rFont val="Arial"/>
        <family val="2"/>
        <charset val="1"/>
      </rPr>
      <t>0</t>
    </r>
  </si>
  <si>
    <r>
      <rPr>
        <sz val="10"/>
        <rFont val="Arial"/>
        <family val="2"/>
        <charset val="1"/>
      </rPr>
      <t>CO</t>
    </r>
    <r>
      <rPr>
        <vertAlign val="subscript"/>
        <sz val="10"/>
        <rFont val="Arial"/>
        <family val="2"/>
        <charset val="1"/>
      </rPr>
      <t>2</t>
    </r>
  </si>
  <si>
    <t>g/mol</t>
  </si>
  <si>
    <r>
      <rPr>
        <sz val="10"/>
        <rFont val="Arial"/>
        <family val="2"/>
        <charset val="1"/>
      </rPr>
      <t>C</t>
    </r>
    <r>
      <rPr>
        <vertAlign val="subscript"/>
        <sz val="10"/>
        <rFont val="Arial"/>
        <family val="2"/>
        <charset val="1"/>
      </rPr>
      <t>5</t>
    </r>
    <r>
      <rPr>
        <sz val="10"/>
        <rFont val="Arial"/>
        <family val="2"/>
        <charset val="1"/>
      </rPr>
      <t>H</t>
    </r>
    <r>
      <rPr>
        <vertAlign val="subscript"/>
        <sz val="10"/>
        <rFont val="Arial"/>
        <family val="2"/>
        <charset val="1"/>
      </rPr>
      <t>12</t>
    </r>
  </si>
  <si>
    <r>
      <rPr>
        <sz val="10"/>
        <rFont val="Arial"/>
        <family val="2"/>
        <charset val="1"/>
      </rPr>
      <t>C</t>
    </r>
    <r>
      <rPr>
        <vertAlign val="subscript"/>
        <sz val="10"/>
        <rFont val="Arial"/>
        <family val="2"/>
        <charset val="1"/>
      </rPr>
      <t>6</t>
    </r>
    <r>
      <rPr>
        <sz val="10"/>
        <rFont val="Arial"/>
        <family val="2"/>
        <charset val="1"/>
      </rPr>
      <t>H</t>
    </r>
    <r>
      <rPr>
        <vertAlign val="subscript"/>
        <sz val="10"/>
        <rFont val="Arial"/>
        <family val="2"/>
        <charset val="1"/>
      </rPr>
      <t>14</t>
    </r>
  </si>
  <si>
    <r>
      <rPr>
        <sz val="10"/>
        <rFont val="Arial"/>
        <family val="2"/>
        <charset val="1"/>
      </rPr>
      <t>C</t>
    </r>
    <r>
      <rPr>
        <vertAlign val="subscript"/>
        <sz val="10"/>
        <rFont val="Arial"/>
        <family val="2"/>
        <charset val="1"/>
      </rPr>
      <t>7</t>
    </r>
    <r>
      <rPr>
        <sz val="10"/>
        <rFont val="Arial"/>
        <family val="2"/>
        <charset val="1"/>
      </rPr>
      <t>H</t>
    </r>
    <r>
      <rPr>
        <vertAlign val="subscript"/>
        <sz val="10"/>
        <rFont val="Arial"/>
        <family val="2"/>
        <charset val="1"/>
      </rPr>
      <t>16</t>
    </r>
  </si>
  <si>
    <r>
      <rPr>
        <sz val="10"/>
        <rFont val="Arial"/>
        <family val="2"/>
        <charset val="1"/>
      </rPr>
      <t>C</t>
    </r>
    <r>
      <rPr>
        <vertAlign val="subscript"/>
        <sz val="10"/>
        <rFont val="Arial"/>
        <family val="2"/>
        <charset val="1"/>
      </rPr>
      <t>8</t>
    </r>
    <r>
      <rPr>
        <sz val="10"/>
        <rFont val="Arial"/>
        <family val="2"/>
        <charset val="1"/>
      </rPr>
      <t>H</t>
    </r>
    <r>
      <rPr>
        <vertAlign val="subscript"/>
        <sz val="10"/>
        <rFont val="Arial"/>
        <family val="2"/>
        <charset val="1"/>
      </rPr>
      <t>18</t>
    </r>
  </si>
  <si>
    <r>
      <rPr>
        <sz val="10"/>
        <rFont val="Arial"/>
        <family val="2"/>
        <charset val="1"/>
      </rPr>
      <t>C</t>
    </r>
    <r>
      <rPr>
        <vertAlign val="subscript"/>
        <sz val="10"/>
        <rFont val="Arial"/>
        <family val="2"/>
        <charset val="1"/>
      </rPr>
      <t>9</t>
    </r>
    <r>
      <rPr>
        <sz val="10"/>
        <rFont val="Arial"/>
        <family val="2"/>
        <charset val="1"/>
      </rPr>
      <t>H</t>
    </r>
    <r>
      <rPr>
        <vertAlign val="subscript"/>
        <sz val="10"/>
        <rFont val="Arial"/>
        <family val="2"/>
        <charset val="1"/>
      </rPr>
      <t>20</t>
    </r>
  </si>
  <si>
    <r>
      <rPr>
        <sz val="10"/>
        <rFont val="Arial"/>
        <family val="2"/>
        <charset val="1"/>
      </rPr>
      <t>C</t>
    </r>
    <r>
      <rPr>
        <vertAlign val="subscript"/>
        <sz val="10"/>
        <rFont val="Arial"/>
        <family val="2"/>
        <charset val="1"/>
      </rPr>
      <t>10</t>
    </r>
    <r>
      <rPr>
        <sz val="10"/>
        <rFont val="Arial"/>
        <family val="2"/>
        <charset val="1"/>
      </rPr>
      <t>H</t>
    </r>
    <r>
      <rPr>
        <vertAlign val="subscript"/>
        <sz val="10"/>
        <rFont val="Arial"/>
        <family val="2"/>
        <charset val="1"/>
      </rPr>
      <t>22</t>
    </r>
  </si>
  <si>
    <r>
      <rPr>
        <sz val="10"/>
        <rFont val="Arial"/>
        <family val="2"/>
        <charset val="1"/>
      </rPr>
      <t>C</t>
    </r>
    <r>
      <rPr>
        <vertAlign val="subscript"/>
        <sz val="10"/>
        <rFont val="Arial"/>
        <family val="2"/>
        <charset val="1"/>
      </rPr>
      <t>11</t>
    </r>
    <r>
      <rPr>
        <sz val="10"/>
        <rFont val="Arial"/>
        <family val="2"/>
        <charset val="1"/>
      </rPr>
      <t>H</t>
    </r>
    <r>
      <rPr>
        <vertAlign val="subscript"/>
        <sz val="10"/>
        <rFont val="Arial"/>
        <family val="2"/>
        <charset val="1"/>
      </rPr>
      <t>24</t>
    </r>
  </si>
  <si>
    <t>Tot Gasol (mol/s)</t>
  </si>
  <si>
    <r>
      <rPr>
        <sz val="10"/>
        <rFont val="Arial"/>
        <family val="2"/>
        <charset val="1"/>
      </rPr>
      <t>C</t>
    </r>
    <r>
      <rPr>
        <vertAlign val="subscript"/>
        <sz val="10"/>
        <rFont val="Arial"/>
        <family val="2"/>
        <charset val="1"/>
      </rPr>
      <t>16</t>
    </r>
  </si>
  <si>
    <r>
      <rPr>
        <sz val="10"/>
        <rFont val="Arial"/>
        <family val="2"/>
        <charset val="1"/>
      </rPr>
      <t>Conversão de CO ( X</t>
    </r>
    <r>
      <rPr>
        <vertAlign val="subscript"/>
        <sz val="10"/>
        <rFont val="Arial"/>
        <family val="2"/>
        <charset val="1"/>
      </rPr>
      <t>CO</t>
    </r>
    <r>
      <rPr>
        <sz val="10"/>
        <rFont val="Arial"/>
        <family val="2"/>
        <charset val="1"/>
      </rPr>
      <t xml:space="preserve"> )</t>
    </r>
  </si>
  <si>
    <r>
      <rPr>
        <sz val="10"/>
        <rFont val="Arial"/>
        <family val="2"/>
        <charset val="1"/>
      </rPr>
      <t>(F</t>
    </r>
    <r>
      <rPr>
        <vertAlign val="subscript"/>
        <sz val="10"/>
        <rFont val="Arial"/>
        <family val="2"/>
        <charset val="1"/>
      </rPr>
      <t>CO,in</t>
    </r>
    <r>
      <rPr>
        <sz val="10"/>
        <rFont val="Arial"/>
        <family val="2"/>
        <charset val="1"/>
      </rPr>
      <t xml:space="preserve"> – F</t>
    </r>
    <r>
      <rPr>
        <vertAlign val="subscript"/>
        <sz val="10"/>
        <rFont val="Arial"/>
        <family val="2"/>
        <charset val="1"/>
      </rPr>
      <t>CO,out</t>
    </r>
    <r>
      <rPr>
        <sz val="10"/>
        <rFont val="Arial"/>
        <family val="2"/>
        <charset val="1"/>
      </rPr>
      <t xml:space="preserve"> )/F</t>
    </r>
    <r>
      <rPr>
        <vertAlign val="subscript"/>
        <sz val="10"/>
        <rFont val="Arial"/>
        <family val="2"/>
        <charset val="1"/>
      </rPr>
      <t>CO,in</t>
    </r>
  </si>
  <si>
    <t>C16/GASOL</t>
  </si>
  <si>
    <t xml:space="preserve">Efic de Carbono para gasol </t>
  </si>
  <si>
    <t>numerador</t>
  </si>
  <si>
    <t xml:space="preserve">5 a 11 </t>
  </si>
  <si>
    <t>denominador</t>
  </si>
  <si>
    <t>divisão</t>
  </si>
  <si>
    <t>eficien carbono na gasol</t>
  </si>
  <si>
    <t>por CO convertido</t>
  </si>
  <si>
    <t>Temperatura ( K ) =</t>
  </si>
  <si>
    <t>463 K</t>
  </si>
  <si>
    <t>503 K</t>
  </si>
  <si>
    <t>543 K</t>
  </si>
  <si>
    <t>583 K</t>
  </si>
  <si>
    <t>F</t>
  </si>
  <si>
    <t>Pressão ( Pa ) =</t>
  </si>
  <si>
    <t>E</t>
  </si>
  <si>
    <t>“SYNGAS” Flow IN (mol/s) =</t>
  </si>
  <si>
    <t>D</t>
  </si>
  <si>
    <t>Basis: MOLAR FRACTION</t>
  </si>
  <si>
    <r>
      <rPr>
        <sz val="10"/>
        <rFont val="Arial"/>
        <family val="2"/>
        <charset val="1"/>
      </rPr>
      <t>H</t>
    </r>
    <r>
      <rPr>
        <vertAlign val="subscript"/>
        <sz val="10"/>
        <rFont val="Arial"/>
        <family val="2"/>
        <charset val="1"/>
      </rPr>
      <t>2</t>
    </r>
    <r>
      <rPr>
        <sz val="10"/>
        <rFont val="Arial"/>
        <family val="2"/>
        <charset val="1"/>
      </rPr>
      <t>/CO =</t>
    </r>
  </si>
  <si>
    <t>IN</t>
  </si>
  <si>
    <r>
      <rPr>
        <sz val="10"/>
        <rFont val="Arial"/>
        <family val="2"/>
        <charset val="1"/>
      </rPr>
      <t>F</t>
    </r>
    <r>
      <rPr>
        <vertAlign val="subscript"/>
        <sz val="10"/>
        <rFont val="Arial"/>
        <family val="2"/>
        <charset val="1"/>
      </rPr>
      <t>CO,IN (mol/s)</t>
    </r>
  </si>
  <si>
    <t>Basis: MOLAR FLOW</t>
  </si>
  <si>
    <t>P</t>
  </si>
  <si>
    <r>
      <rPr>
        <sz val="10"/>
        <rFont val="Arial"/>
        <family val="2"/>
        <charset val="1"/>
      </rPr>
      <t>F</t>
    </r>
    <r>
      <rPr>
        <vertAlign val="subscript"/>
        <sz val="10"/>
        <rFont val="Arial"/>
        <family val="2"/>
        <charset val="1"/>
      </rPr>
      <t>CO,OUT</t>
    </r>
    <r>
      <rPr>
        <sz val="10"/>
        <rFont val="Arial"/>
        <family val="2"/>
        <charset val="1"/>
      </rPr>
      <t xml:space="preserve"> (mol/s)</t>
    </r>
  </si>
  <si>
    <r>
      <rPr>
        <sz val="10"/>
        <rFont val="Arial"/>
        <family val="2"/>
        <charset val="1"/>
      </rPr>
      <t>H</t>
    </r>
    <r>
      <rPr>
        <vertAlign val="subscript"/>
        <sz val="10"/>
        <rFont val="Arial"/>
        <family val="2"/>
        <charset val="1"/>
      </rPr>
      <t>2</t>
    </r>
    <r>
      <rPr>
        <sz val="10"/>
        <rFont val="Arial"/>
        <family val="2"/>
        <charset val="1"/>
      </rPr>
      <t xml:space="preserve"> (mol/s)</t>
    </r>
  </si>
  <si>
    <t>R</t>
  </si>
  <si>
    <r>
      <rPr>
        <sz val="10"/>
        <rFont val="Arial"/>
        <family val="2"/>
        <charset val="1"/>
      </rPr>
      <t>H</t>
    </r>
    <r>
      <rPr>
        <vertAlign val="subscript"/>
        <sz val="10"/>
        <rFont val="Arial"/>
        <family val="2"/>
        <charset val="1"/>
      </rPr>
      <t>2</t>
    </r>
    <r>
      <rPr>
        <sz val="10"/>
        <rFont val="Arial"/>
        <family val="2"/>
        <charset val="1"/>
      </rPr>
      <t>O ( mol/s)</t>
    </r>
  </si>
  <si>
    <r>
      <rPr>
        <sz val="10"/>
        <rFont val="Arial"/>
        <family val="2"/>
        <charset val="1"/>
      </rPr>
      <t>CO</t>
    </r>
    <r>
      <rPr>
        <vertAlign val="subscript"/>
        <sz val="10"/>
        <rFont val="Arial"/>
        <family val="2"/>
        <charset val="1"/>
      </rPr>
      <t>2</t>
    </r>
    <r>
      <rPr>
        <sz val="10"/>
        <rFont val="Arial"/>
        <family val="2"/>
        <charset val="1"/>
      </rPr>
      <t xml:space="preserve"> ( mol/s)</t>
    </r>
  </si>
  <si>
    <t>O</t>
  </si>
  <si>
    <r>
      <rPr>
        <sz val="10"/>
        <rFont val="Arial"/>
        <family val="2"/>
        <charset val="1"/>
      </rPr>
      <t>C</t>
    </r>
    <r>
      <rPr>
        <vertAlign val="subscript"/>
        <sz val="10"/>
        <rFont val="Arial"/>
        <family val="2"/>
        <charset val="1"/>
      </rPr>
      <t>5</t>
    </r>
    <r>
      <rPr>
        <sz val="10"/>
        <rFont val="Arial"/>
        <family val="2"/>
        <charset val="1"/>
      </rPr>
      <t>H</t>
    </r>
    <r>
      <rPr>
        <vertAlign val="subscript"/>
        <sz val="10"/>
        <rFont val="Arial"/>
        <family val="2"/>
        <charset val="1"/>
      </rPr>
      <t>12</t>
    </r>
    <r>
      <rPr>
        <sz val="10"/>
        <rFont val="Arial"/>
        <family val="2"/>
        <charset val="1"/>
      </rPr>
      <t xml:space="preserve"> (mol/s)</t>
    </r>
  </si>
  <si>
    <r>
      <rPr>
        <sz val="10"/>
        <rFont val="Arial"/>
        <family val="2"/>
        <charset val="1"/>
      </rPr>
      <t>C</t>
    </r>
    <r>
      <rPr>
        <vertAlign val="subscript"/>
        <sz val="10"/>
        <rFont val="Arial"/>
        <family val="2"/>
        <charset val="1"/>
      </rPr>
      <t>6</t>
    </r>
    <r>
      <rPr>
        <sz val="10"/>
        <rFont val="Arial"/>
        <family val="2"/>
        <charset val="1"/>
      </rPr>
      <t>H</t>
    </r>
    <r>
      <rPr>
        <vertAlign val="subscript"/>
        <sz val="10"/>
        <rFont val="Arial"/>
        <family val="2"/>
        <charset val="1"/>
      </rPr>
      <t>14</t>
    </r>
    <r>
      <rPr>
        <sz val="10"/>
        <rFont val="Arial"/>
        <family val="2"/>
        <charset val="1"/>
      </rPr>
      <t xml:space="preserve"> ( mol/s )</t>
    </r>
  </si>
  <si>
    <r>
      <rPr>
        <sz val="10"/>
        <rFont val="Arial"/>
        <family val="2"/>
        <charset val="1"/>
      </rPr>
      <t>C</t>
    </r>
    <r>
      <rPr>
        <vertAlign val="subscript"/>
        <sz val="10"/>
        <rFont val="Arial"/>
        <family val="2"/>
        <charset val="1"/>
      </rPr>
      <t>7</t>
    </r>
    <r>
      <rPr>
        <sz val="10"/>
        <rFont val="Arial"/>
        <family val="2"/>
        <charset val="1"/>
      </rPr>
      <t>H</t>
    </r>
    <r>
      <rPr>
        <vertAlign val="subscript"/>
        <sz val="10"/>
        <rFont val="Arial"/>
        <family val="2"/>
        <charset val="1"/>
      </rPr>
      <t>16</t>
    </r>
    <r>
      <rPr>
        <sz val="10"/>
        <rFont val="Arial"/>
        <family val="2"/>
        <charset val="1"/>
      </rPr>
      <t xml:space="preserve"> ( mol/s )</t>
    </r>
  </si>
  <si>
    <t>T</t>
  </si>
  <si>
    <r>
      <rPr>
        <sz val="10"/>
        <rFont val="Arial"/>
        <family val="2"/>
        <charset val="1"/>
      </rPr>
      <t>C</t>
    </r>
    <r>
      <rPr>
        <vertAlign val="subscript"/>
        <sz val="10"/>
        <rFont val="Arial"/>
        <family val="2"/>
        <charset val="1"/>
      </rPr>
      <t>8</t>
    </r>
    <r>
      <rPr>
        <sz val="10"/>
        <rFont val="Arial"/>
        <family val="2"/>
        <charset val="1"/>
      </rPr>
      <t>H</t>
    </r>
    <r>
      <rPr>
        <vertAlign val="subscript"/>
        <sz val="10"/>
        <rFont val="Arial"/>
        <family val="2"/>
        <charset val="1"/>
      </rPr>
      <t>18</t>
    </r>
    <r>
      <rPr>
        <sz val="10"/>
        <rFont val="Arial"/>
        <family val="2"/>
        <charset val="1"/>
      </rPr>
      <t xml:space="preserve"> ( mol/s )</t>
    </r>
  </si>
  <si>
    <r>
      <rPr>
        <sz val="10"/>
        <rFont val="Arial"/>
        <family val="2"/>
        <charset val="1"/>
      </rPr>
      <t>C</t>
    </r>
    <r>
      <rPr>
        <vertAlign val="subscript"/>
        <sz val="10"/>
        <rFont val="Arial"/>
        <family val="2"/>
        <charset val="1"/>
      </rPr>
      <t>9</t>
    </r>
    <r>
      <rPr>
        <sz val="10"/>
        <rFont val="Arial"/>
        <family val="2"/>
        <charset val="1"/>
      </rPr>
      <t>H</t>
    </r>
    <r>
      <rPr>
        <vertAlign val="subscript"/>
        <sz val="10"/>
        <rFont val="Arial"/>
        <family val="2"/>
        <charset val="1"/>
      </rPr>
      <t>20</t>
    </r>
    <r>
      <rPr>
        <sz val="10"/>
        <rFont val="Arial"/>
        <family val="2"/>
        <charset val="1"/>
      </rPr>
      <t xml:space="preserve"> ( mol/s )</t>
    </r>
  </si>
  <si>
    <r>
      <rPr>
        <sz val="10"/>
        <rFont val="Arial"/>
        <family val="2"/>
        <charset val="1"/>
      </rPr>
      <t>C</t>
    </r>
    <r>
      <rPr>
        <vertAlign val="subscript"/>
        <sz val="10"/>
        <rFont val="Arial"/>
        <family val="2"/>
        <charset val="1"/>
      </rPr>
      <t>10</t>
    </r>
    <r>
      <rPr>
        <sz val="10"/>
        <rFont val="Arial"/>
        <family val="2"/>
        <charset val="1"/>
      </rPr>
      <t>H</t>
    </r>
    <r>
      <rPr>
        <vertAlign val="subscript"/>
        <sz val="10"/>
        <rFont val="Arial"/>
        <family val="2"/>
        <charset val="1"/>
      </rPr>
      <t>22</t>
    </r>
    <r>
      <rPr>
        <sz val="10"/>
        <rFont val="Arial"/>
        <family val="2"/>
        <charset val="1"/>
      </rPr>
      <t xml:space="preserve"> ( mol/s )</t>
    </r>
  </si>
  <si>
    <r>
      <rPr>
        <sz val="10"/>
        <rFont val="Arial"/>
        <family val="2"/>
        <charset val="1"/>
      </rPr>
      <t>C</t>
    </r>
    <r>
      <rPr>
        <vertAlign val="subscript"/>
        <sz val="10"/>
        <rFont val="Arial"/>
        <family val="2"/>
        <charset val="1"/>
      </rPr>
      <t>11</t>
    </r>
    <r>
      <rPr>
        <sz val="10"/>
        <rFont val="Arial"/>
        <family val="2"/>
        <charset val="1"/>
      </rPr>
      <t>H</t>
    </r>
    <r>
      <rPr>
        <vertAlign val="subscript"/>
        <sz val="10"/>
        <rFont val="Arial"/>
        <family val="2"/>
        <charset val="1"/>
      </rPr>
      <t>24</t>
    </r>
    <r>
      <rPr>
        <sz val="10"/>
        <rFont val="Arial"/>
        <family val="2"/>
        <charset val="1"/>
      </rPr>
      <t xml:space="preserve"> ( mol/s )</t>
    </r>
  </si>
  <si>
    <t>S</t>
  </si>
  <si>
    <r>
      <rPr>
        <b/>
        <sz val="10"/>
        <rFont val="Arial"/>
        <family val="2"/>
        <charset val="1"/>
      </rPr>
      <t>Fgas Gasolina ( C</t>
    </r>
    <r>
      <rPr>
        <b/>
        <vertAlign val="subscript"/>
        <sz val="10"/>
        <rFont val="Arial"/>
        <family val="2"/>
        <charset val="1"/>
      </rPr>
      <t>5</t>
    </r>
    <r>
      <rPr>
        <b/>
        <sz val="10"/>
        <rFont val="Arial"/>
        <family val="2"/>
        <charset val="1"/>
      </rPr>
      <t xml:space="preserve"> – C</t>
    </r>
    <r>
      <rPr>
        <b/>
        <vertAlign val="subscript"/>
        <sz val="10"/>
        <rFont val="Arial"/>
        <family val="2"/>
        <charset val="1"/>
      </rPr>
      <t>11</t>
    </r>
    <r>
      <rPr>
        <b/>
        <sz val="10"/>
        <rFont val="Arial"/>
        <family val="2"/>
        <charset val="1"/>
      </rPr>
      <t xml:space="preserve"> ) ( mol/s )</t>
    </r>
  </si>
  <si>
    <t>OUT</t>
  </si>
  <si>
    <r>
      <rPr>
        <sz val="10"/>
        <rFont val="Arial"/>
        <family val="2"/>
        <charset val="1"/>
      </rPr>
      <t xml:space="preserve">Fheavy </t>
    </r>
    <r>
      <rPr>
        <vertAlign val="subscript"/>
        <sz val="10"/>
        <rFont val="Arial"/>
        <family val="2"/>
        <charset val="1"/>
      </rPr>
      <t xml:space="preserve"> </t>
    </r>
    <r>
      <rPr>
        <sz val="10"/>
        <rFont val="Arial"/>
        <family val="2"/>
        <charset val="1"/>
      </rPr>
      <t xml:space="preserve">                   C</t>
    </r>
    <r>
      <rPr>
        <vertAlign val="subscript"/>
        <sz val="10"/>
        <rFont val="Arial"/>
        <family val="2"/>
        <charset val="1"/>
      </rPr>
      <t>16</t>
    </r>
    <r>
      <rPr>
        <sz val="10"/>
        <rFont val="Arial"/>
        <family val="2"/>
        <charset val="1"/>
      </rPr>
      <t>H</t>
    </r>
    <r>
      <rPr>
        <vertAlign val="subscript"/>
        <sz val="10"/>
        <rFont val="Arial"/>
        <family val="2"/>
        <charset val="1"/>
      </rPr>
      <t>34</t>
    </r>
    <r>
      <rPr>
        <sz val="10"/>
        <rFont val="Arial"/>
        <family val="2"/>
        <charset val="1"/>
      </rPr>
      <t xml:space="preserve"> ( mol/s )</t>
    </r>
  </si>
  <si>
    <r>
      <rPr>
        <sz val="10"/>
        <rFont val="Arial"/>
        <family val="2"/>
        <charset val="1"/>
      </rPr>
      <t>F</t>
    </r>
    <r>
      <rPr>
        <vertAlign val="subscript"/>
        <sz val="10"/>
        <rFont val="Arial"/>
        <family val="2"/>
        <charset val="1"/>
      </rPr>
      <t>TOTAL,OUT</t>
    </r>
    <r>
      <rPr>
        <sz val="10"/>
        <rFont val="Arial"/>
        <family val="2"/>
        <charset val="1"/>
      </rPr>
      <t xml:space="preserve">  (mol/s) =</t>
    </r>
  </si>
  <si>
    <t>XCO = Conversão de CO =</t>
  </si>
  <si>
    <r>
      <rPr>
        <sz val="12"/>
        <rFont val="Arial"/>
        <family val="2"/>
        <charset val="1"/>
      </rPr>
      <t xml:space="preserve"> (F</t>
    </r>
    <r>
      <rPr>
        <vertAlign val="subscript"/>
        <sz val="12"/>
        <rFont val="Arial"/>
        <family val="2"/>
        <charset val="1"/>
      </rPr>
      <t>CO,in</t>
    </r>
    <r>
      <rPr>
        <sz val="12"/>
        <rFont val="Arial"/>
        <family val="2"/>
        <charset val="1"/>
      </rPr>
      <t xml:space="preserve"> – F</t>
    </r>
    <r>
      <rPr>
        <vertAlign val="subscript"/>
        <sz val="12"/>
        <rFont val="Arial"/>
        <family val="2"/>
        <charset val="1"/>
      </rPr>
      <t>CO,out</t>
    </r>
    <r>
      <rPr>
        <sz val="12"/>
        <rFont val="Arial"/>
        <family val="2"/>
        <charset val="1"/>
      </rPr>
      <t xml:space="preserve"> )/F</t>
    </r>
    <r>
      <rPr>
        <vertAlign val="subscript"/>
        <sz val="12"/>
        <rFont val="Arial"/>
        <family val="2"/>
        <charset val="1"/>
      </rPr>
      <t>CO,in</t>
    </r>
  </si>
  <si>
    <r>
      <rPr>
        <sz val="10"/>
        <rFont val="Arial"/>
        <family val="2"/>
        <charset val="1"/>
      </rPr>
      <t>C</t>
    </r>
    <r>
      <rPr>
        <vertAlign val="subscript"/>
        <sz val="10"/>
        <rFont val="Arial"/>
        <family val="2"/>
        <charset val="1"/>
      </rPr>
      <t>16</t>
    </r>
    <r>
      <rPr>
        <sz val="10"/>
        <rFont val="Arial"/>
        <family val="2"/>
        <charset val="1"/>
      </rPr>
      <t>/Gasolina(C</t>
    </r>
    <r>
      <rPr>
        <vertAlign val="subscript"/>
        <sz val="10"/>
        <rFont val="Arial"/>
        <family val="2"/>
        <charset val="1"/>
      </rPr>
      <t>5</t>
    </r>
    <r>
      <rPr>
        <sz val="10"/>
        <rFont val="Arial"/>
        <family val="2"/>
        <charset val="1"/>
      </rPr>
      <t>-C</t>
    </r>
    <r>
      <rPr>
        <vertAlign val="subscript"/>
        <sz val="10"/>
        <rFont val="Arial"/>
        <family val="2"/>
        <charset val="1"/>
      </rPr>
      <t>11</t>
    </r>
    <r>
      <rPr>
        <sz val="10"/>
        <rFont val="Arial"/>
        <family val="2"/>
        <charset val="1"/>
      </rPr>
      <t>)</t>
    </r>
  </si>
  <si>
    <t>(sobrecrescimento)</t>
  </si>
  <si>
    <t>Num</t>
  </si>
  <si>
    <t>Den</t>
  </si>
  <si>
    <r>
      <rPr>
        <sz val="10"/>
        <rFont val="Arial"/>
        <family val="2"/>
        <charset val="1"/>
      </rPr>
      <t>Gasolina ( C</t>
    </r>
    <r>
      <rPr>
        <vertAlign val="subscript"/>
        <sz val="10"/>
        <rFont val="Arial"/>
        <family val="2"/>
        <charset val="1"/>
      </rPr>
      <t>5</t>
    </r>
    <r>
      <rPr>
        <sz val="10"/>
        <rFont val="Arial"/>
        <family val="2"/>
        <charset val="1"/>
      </rPr>
      <t xml:space="preserve"> – C</t>
    </r>
    <r>
      <rPr>
        <vertAlign val="subscript"/>
        <sz val="10"/>
        <rFont val="Arial"/>
        <family val="2"/>
        <charset val="1"/>
      </rPr>
      <t>11</t>
    </r>
    <r>
      <rPr>
        <sz val="10"/>
        <rFont val="Arial"/>
        <family val="2"/>
        <charset val="1"/>
      </rPr>
      <t xml:space="preserve"> ) / COin    (%)</t>
    </r>
  </si>
  <si>
    <t>÷</t>
  </si>
  <si>
    <r>
      <rPr>
        <sz val="10"/>
        <rFont val="Arial"/>
        <family val="2"/>
        <charset val="1"/>
      </rPr>
      <t>Gasolina (C</t>
    </r>
    <r>
      <rPr>
        <vertAlign val="subscript"/>
        <sz val="10"/>
        <rFont val="Arial"/>
        <family val="2"/>
        <charset val="1"/>
      </rPr>
      <t>5</t>
    </r>
    <r>
      <rPr>
        <sz val="10"/>
        <rFont val="Arial"/>
        <family val="2"/>
        <charset val="1"/>
      </rPr>
      <t xml:space="preserve"> – C</t>
    </r>
    <r>
      <rPr>
        <vertAlign val="subscript"/>
        <sz val="10"/>
        <rFont val="Arial"/>
        <family val="2"/>
        <charset val="1"/>
      </rPr>
      <t>11</t>
    </r>
    <r>
      <rPr>
        <sz val="10"/>
        <rFont val="Arial"/>
        <family val="2"/>
        <charset val="1"/>
      </rPr>
      <t>)/C0convertido (%)</t>
    </r>
  </si>
  <si>
    <r>
      <rPr>
        <sz val="10"/>
        <rFont val="Arial"/>
        <family val="2"/>
        <charset val="1"/>
      </rPr>
      <t xml:space="preserve"> (F</t>
    </r>
    <r>
      <rPr>
        <vertAlign val="subscript"/>
        <sz val="10"/>
        <rFont val="Arial"/>
        <family val="2"/>
        <charset val="1"/>
      </rPr>
      <t>CO,in</t>
    </r>
    <r>
      <rPr>
        <sz val="10"/>
        <rFont val="Arial"/>
        <family val="2"/>
        <charset val="1"/>
      </rPr>
      <t xml:space="preserve"> – F</t>
    </r>
    <r>
      <rPr>
        <vertAlign val="subscript"/>
        <sz val="10"/>
        <rFont val="Arial"/>
        <family val="2"/>
        <charset val="1"/>
      </rPr>
      <t>CO,out</t>
    </r>
    <r>
      <rPr>
        <sz val="10"/>
        <rFont val="Arial"/>
        <family val="2"/>
        <charset val="1"/>
      </rPr>
      <t xml:space="preserve"> )/F</t>
    </r>
    <r>
      <rPr>
        <vertAlign val="subscript"/>
        <sz val="10"/>
        <rFont val="Arial"/>
        <family val="2"/>
        <charset val="1"/>
      </rPr>
      <t>CO,in</t>
    </r>
  </si>
  <si>
    <t>Gráfico 1 — Gasolina (C₅–C₁₁, mol/s) vs Pressão</t>
  </si>
  <si>
    <t>T=543 K (25 kg)</t>
  </si>
  <si>
    <t>T=543 K (35 kg)</t>
  </si>
  <si>
    <r>
      <rPr>
        <b/>
        <sz val="10"/>
        <rFont val="Arial"/>
        <family val="2"/>
        <charset val="1"/>
      </rPr>
      <t>Gasolina ( C</t>
    </r>
    <r>
      <rPr>
        <b/>
        <vertAlign val="subscript"/>
        <sz val="10"/>
        <rFont val="Arial"/>
        <family val="2"/>
        <charset val="1"/>
      </rPr>
      <t>5</t>
    </r>
    <r>
      <rPr>
        <b/>
        <sz val="10"/>
        <rFont val="Arial"/>
        <family val="2"/>
        <charset val="1"/>
      </rPr>
      <t xml:space="preserve"> – C</t>
    </r>
    <r>
      <rPr>
        <b/>
        <vertAlign val="subscript"/>
        <sz val="10"/>
        <rFont val="Arial"/>
        <family val="2"/>
        <charset val="1"/>
      </rPr>
      <t>11</t>
    </r>
    <r>
      <rPr>
        <b/>
        <sz val="10"/>
        <rFont val="Arial"/>
        <family val="2"/>
        <charset val="1"/>
      </rPr>
      <t xml:space="preserve"> ) ( mol/s )</t>
    </r>
  </si>
  <si>
    <t>T=583 K (25 kg)</t>
  </si>
  <si>
    <t>T=583 K (35 kg)</t>
  </si>
  <si>
    <t>Gráfico 2 — Eficiência de carbono para gasolina (%) vs Pressão</t>
  </si>
  <si>
    <t>Pressão (MPa)</t>
  </si>
  <si>
    <t>Gráfico 3 — C₁₆/Gasolina vs Pressão (indicador de sobrecrescimento)</t>
  </si>
  <si>
    <t>Pressão (atm)</t>
  </si>
  <si>
    <t>sobrecrescimento</t>
  </si>
  <si>
    <t>Gráfico 4 — Conversão de CO (%) vs Pressão</t>
  </si>
  <si>
    <r>
      <rPr>
        <sz val="10"/>
        <rFont val="Arial"/>
        <family val="2"/>
        <charset val="1"/>
      </rPr>
      <t xml:space="preserve"> (F</t>
    </r>
    <r>
      <rPr>
        <vertAlign val="subscript"/>
        <sz val="10"/>
        <rFont val="Arial"/>
        <family val="2"/>
        <charset val="1"/>
      </rPr>
      <t>CO,in</t>
    </r>
    <r>
      <rPr>
        <sz val="10"/>
        <rFont val="Arial"/>
        <family val="2"/>
        <charset val="1"/>
      </rPr>
      <t xml:space="preserve"> – F</t>
    </r>
    <r>
      <rPr>
        <vertAlign val="subscript"/>
        <sz val="10"/>
        <rFont val="Arial"/>
        <family val="2"/>
        <charset val="1"/>
      </rPr>
      <t>CO,out</t>
    </r>
    <r>
      <rPr>
        <sz val="10"/>
        <rFont val="Arial"/>
        <family val="2"/>
        <charset val="1"/>
      </rPr>
      <t xml:space="preserve"> )/F</t>
    </r>
    <r>
      <rPr>
        <vertAlign val="subscript"/>
        <sz val="10"/>
        <rFont val="Arial"/>
        <family val="2"/>
        <charset val="1"/>
      </rPr>
      <t>CO,in     (%)</t>
    </r>
  </si>
  <si>
    <t xml:space="preserve"> </t>
  </si>
  <si>
    <t>alfa1</t>
  </si>
  <si>
    <t>alfa2</t>
  </si>
  <si>
    <t>alfa3</t>
  </si>
  <si>
    <t>alfa4</t>
  </si>
  <si>
    <t>alfa5</t>
  </si>
  <si>
    <t>alfa6</t>
  </si>
  <si>
    <r>
      <t>C</t>
    </r>
    <r>
      <rPr>
        <vertAlign val="subscript"/>
        <sz val="10"/>
        <rFont val="Arial"/>
        <family val="2"/>
        <charset val="1"/>
      </rPr>
      <t>6</t>
    </r>
    <r>
      <rPr>
        <sz val="10"/>
        <rFont val="Arial"/>
        <family val="2"/>
        <charset val="1"/>
      </rPr>
      <t>H</t>
    </r>
    <r>
      <rPr>
        <vertAlign val="subscript"/>
        <sz val="10"/>
        <rFont val="Arial"/>
        <family val="2"/>
        <charset val="1"/>
      </rPr>
      <t>14</t>
    </r>
    <r>
      <rPr>
        <sz val="10"/>
        <rFont val="Arial"/>
        <family val="2"/>
        <charset val="1"/>
      </rPr>
      <t xml:space="preserve"> ( mol/s )</t>
    </r>
  </si>
  <si>
    <r>
      <t>C</t>
    </r>
    <r>
      <rPr>
        <vertAlign val="subscript"/>
        <sz val="10"/>
        <rFont val="Arial"/>
        <family val="2"/>
        <charset val="1"/>
      </rPr>
      <t>5</t>
    </r>
    <r>
      <rPr>
        <sz val="10"/>
        <rFont val="Arial"/>
        <family val="2"/>
        <charset val="1"/>
      </rPr>
      <t>H</t>
    </r>
    <r>
      <rPr>
        <vertAlign val="subscript"/>
        <sz val="10"/>
        <rFont val="Arial"/>
        <family val="2"/>
        <charset val="1"/>
      </rPr>
      <t>12</t>
    </r>
    <r>
      <rPr>
        <sz val="10"/>
        <rFont val="Arial"/>
        <family val="2"/>
        <charset val="1"/>
      </rPr>
      <t xml:space="preserve"> (mol/s)</t>
    </r>
  </si>
  <si>
    <r>
      <t>C</t>
    </r>
    <r>
      <rPr>
        <vertAlign val="subscript"/>
        <sz val="10"/>
        <rFont val="Arial"/>
        <family val="2"/>
        <charset val="1"/>
      </rPr>
      <t>11</t>
    </r>
    <r>
      <rPr>
        <sz val="10"/>
        <rFont val="Arial"/>
        <family val="2"/>
        <charset val="1"/>
      </rPr>
      <t>H</t>
    </r>
    <r>
      <rPr>
        <vertAlign val="subscript"/>
        <sz val="10"/>
        <rFont val="Arial"/>
        <family val="2"/>
        <charset val="1"/>
      </rPr>
      <t>24</t>
    </r>
    <r>
      <rPr>
        <sz val="10"/>
        <rFont val="Arial"/>
        <family val="2"/>
        <charset val="1"/>
      </rPr>
      <t xml:space="preserve"> ( mol/s )</t>
    </r>
  </si>
  <si>
    <r>
      <t>C</t>
    </r>
    <r>
      <rPr>
        <vertAlign val="subscript"/>
        <sz val="10"/>
        <rFont val="Arial"/>
        <family val="2"/>
        <charset val="1"/>
      </rPr>
      <t>10</t>
    </r>
    <r>
      <rPr>
        <sz val="10"/>
        <rFont val="Arial"/>
        <family val="2"/>
        <charset val="1"/>
      </rPr>
      <t>H</t>
    </r>
    <r>
      <rPr>
        <vertAlign val="subscript"/>
        <sz val="10"/>
        <rFont val="Arial"/>
        <family val="2"/>
        <charset val="1"/>
      </rPr>
      <t>22</t>
    </r>
    <r>
      <rPr>
        <sz val="10"/>
        <rFont val="Arial"/>
        <family val="2"/>
        <charset val="1"/>
      </rPr>
      <t xml:space="preserve"> ( mol/s )</t>
    </r>
  </si>
  <si>
    <t>α medio</t>
  </si>
  <si>
    <t>M=massa molar (g/mol)</t>
  </si>
  <si>
    <r>
      <t>C</t>
    </r>
    <r>
      <rPr>
        <vertAlign val="subscript"/>
        <sz val="10"/>
        <rFont val="Arial"/>
        <family val="2"/>
        <charset val="1"/>
      </rPr>
      <t>5</t>
    </r>
    <r>
      <rPr>
        <sz val="10"/>
        <rFont val="Arial"/>
        <family val="2"/>
        <charset val="1"/>
      </rPr>
      <t>H</t>
    </r>
    <r>
      <rPr>
        <vertAlign val="subscript"/>
        <sz val="10"/>
        <rFont val="Arial"/>
        <family val="2"/>
        <charset val="1"/>
      </rPr>
      <t>12</t>
    </r>
    <r>
      <rPr>
        <sz val="10"/>
        <rFont val="Arial"/>
        <family val="2"/>
        <charset val="1"/>
      </rPr>
      <t xml:space="preserve"> ( g/s )</t>
    </r>
  </si>
  <si>
    <r>
      <t>C</t>
    </r>
    <r>
      <rPr>
        <vertAlign val="subscript"/>
        <sz val="10"/>
        <rFont val="Arial"/>
        <family val="2"/>
        <charset val="1"/>
      </rPr>
      <t>6</t>
    </r>
    <r>
      <rPr>
        <sz val="10"/>
        <rFont val="Arial"/>
        <family val="2"/>
        <charset val="1"/>
      </rPr>
      <t>H</t>
    </r>
    <r>
      <rPr>
        <vertAlign val="subscript"/>
        <sz val="10"/>
        <rFont val="Arial"/>
        <family val="2"/>
        <charset val="1"/>
      </rPr>
      <t>14</t>
    </r>
    <r>
      <rPr>
        <sz val="10"/>
        <rFont val="Arial"/>
        <family val="2"/>
        <charset val="1"/>
      </rPr>
      <t xml:space="preserve"> ( g/s )</t>
    </r>
  </si>
  <si>
    <r>
      <t>C</t>
    </r>
    <r>
      <rPr>
        <vertAlign val="subscript"/>
        <sz val="10"/>
        <rFont val="Arial"/>
        <family val="2"/>
        <charset val="1"/>
      </rPr>
      <t>7</t>
    </r>
    <r>
      <rPr>
        <sz val="10"/>
        <rFont val="Arial"/>
        <family val="2"/>
        <charset val="1"/>
      </rPr>
      <t>H</t>
    </r>
    <r>
      <rPr>
        <vertAlign val="subscript"/>
        <sz val="10"/>
        <rFont val="Arial"/>
        <family val="2"/>
        <charset val="1"/>
      </rPr>
      <t>16</t>
    </r>
    <r>
      <rPr>
        <sz val="10"/>
        <rFont val="Arial"/>
        <family val="2"/>
        <charset val="1"/>
      </rPr>
      <t xml:space="preserve"> ( g/s )</t>
    </r>
  </si>
  <si>
    <r>
      <t>C</t>
    </r>
    <r>
      <rPr>
        <vertAlign val="subscript"/>
        <sz val="10"/>
        <rFont val="Arial"/>
        <family val="2"/>
        <charset val="1"/>
      </rPr>
      <t>8</t>
    </r>
    <r>
      <rPr>
        <sz val="10"/>
        <rFont val="Arial"/>
        <family val="2"/>
        <charset val="1"/>
      </rPr>
      <t>H</t>
    </r>
    <r>
      <rPr>
        <vertAlign val="subscript"/>
        <sz val="10"/>
        <rFont val="Arial"/>
        <family val="2"/>
        <charset val="1"/>
      </rPr>
      <t>18</t>
    </r>
    <r>
      <rPr>
        <sz val="10"/>
        <rFont val="Arial"/>
        <family val="2"/>
        <charset val="1"/>
      </rPr>
      <t xml:space="preserve"> ( g/s )</t>
    </r>
  </si>
  <si>
    <r>
      <t>C</t>
    </r>
    <r>
      <rPr>
        <vertAlign val="subscript"/>
        <sz val="10"/>
        <rFont val="Arial"/>
        <family val="2"/>
        <charset val="1"/>
      </rPr>
      <t>9</t>
    </r>
    <r>
      <rPr>
        <sz val="10"/>
        <rFont val="Arial"/>
        <family val="2"/>
        <charset val="1"/>
      </rPr>
      <t>H</t>
    </r>
    <r>
      <rPr>
        <vertAlign val="subscript"/>
        <sz val="10"/>
        <rFont val="Arial"/>
        <family val="2"/>
        <charset val="1"/>
      </rPr>
      <t>20</t>
    </r>
    <r>
      <rPr>
        <sz val="10"/>
        <rFont val="Arial"/>
        <family val="2"/>
        <charset val="1"/>
      </rPr>
      <t xml:space="preserve"> ( g/s )</t>
    </r>
  </si>
  <si>
    <r>
      <t>C</t>
    </r>
    <r>
      <rPr>
        <vertAlign val="subscript"/>
        <sz val="10"/>
        <rFont val="Arial"/>
        <family val="2"/>
        <charset val="1"/>
      </rPr>
      <t>10</t>
    </r>
    <r>
      <rPr>
        <sz val="10"/>
        <rFont val="Arial"/>
        <family val="2"/>
        <charset val="1"/>
      </rPr>
      <t>H</t>
    </r>
    <r>
      <rPr>
        <vertAlign val="subscript"/>
        <sz val="10"/>
        <rFont val="Arial"/>
        <family val="2"/>
        <charset val="1"/>
      </rPr>
      <t>22</t>
    </r>
    <r>
      <rPr>
        <sz val="10"/>
        <rFont val="Arial"/>
        <family val="2"/>
        <charset val="1"/>
      </rPr>
      <t xml:space="preserve"> ( g/s )</t>
    </r>
  </si>
  <si>
    <r>
      <t>C</t>
    </r>
    <r>
      <rPr>
        <vertAlign val="subscript"/>
        <sz val="10"/>
        <rFont val="Arial"/>
        <family val="2"/>
        <charset val="1"/>
      </rPr>
      <t>11</t>
    </r>
    <r>
      <rPr>
        <sz val="10"/>
        <rFont val="Arial"/>
        <family val="2"/>
        <charset val="1"/>
      </rPr>
      <t>H</t>
    </r>
    <r>
      <rPr>
        <vertAlign val="subscript"/>
        <sz val="10"/>
        <rFont val="Arial"/>
        <family val="2"/>
        <charset val="1"/>
      </rPr>
      <t>24</t>
    </r>
    <r>
      <rPr>
        <sz val="10"/>
        <rFont val="Arial"/>
        <family val="2"/>
        <charset val="1"/>
      </rPr>
      <t xml:space="preserve"> ( g/s )</t>
    </r>
  </si>
  <si>
    <r>
      <t xml:space="preserve">Fheavy </t>
    </r>
    <r>
      <rPr>
        <vertAlign val="subscript"/>
        <sz val="10"/>
        <rFont val="Arial"/>
        <family val="2"/>
        <charset val="1"/>
      </rPr>
      <t xml:space="preserve"> </t>
    </r>
    <r>
      <rPr>
        <sz val="10"/>
        <rFont val="Arial"/>
        <family val="2"/>
        <charset val="1"/>
      </rPr>
      <t xml:space="preserve">                   C</t>
    </r>
    <r>
      <rPr>
        <vertAlign val="subscript"/>
        <sz val="10"/>
        <rFont val="Arial"/>
        <family val="2"/>
        <charset val="1"/>
      </rPr>
      <t>16</t>
    </r>
    <r>
      <rPr>
        <sz val="10"/>
        <rFont val="Arial"/>
        <family val="2"/>
        <charset val="1"/>
      </rPr>
      <t>H</t>
    </r>
    <r>
      <rPr>
        <vertAlign val="subscript"/>
        <sz val="10"/>
        <rFont val="Arial"/>
        <family val="2"/>
        <charset val="1"/>
      </rPr>
      <t>34</t>
    </r>
    <r>
      <rPr>
        <sz val="10"/>
        <rFont val="Arial"/>
        <family val="2"/>
        <charset val="1"/>
      </rPr>
      <t xml:space="preserve"> ( g/s )</t>
    </r>
  </si>
  <si>
    <t>frac mássica</t>
  </si>
  <si>
    <r>
      <t>H</t>
    </r>
    <r>
      <rPr>
        <vertAlign val="subscript"/>
        <sz val="10"/>
        <rFont val="Arial"/>
        <family val="2"/>
        <charset val="1"/>
      </rPr>
      <t>2</t>
    </r>
    <r>
      <rPr>
        <sz val="10"/>
        <rFont val="Arial"/>
        <family val="2"/>
        <charset val="1"/>
      </rPr>
      <t>/CO =</t>
    </r>
  </si>
  <si>
    <t>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</si>
</sst>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0000000"/>
    <numFmt numFmtId="165" formatCode="0.00000"/>
    <numFmt numFmtId="166" formatCode="0.000000000"/>
    <numFmt numFmtId="167" formatCode="0.00000000"/>
  </numFmts>
  <fonts count="19">
    <font>
      <sz val="10"/>
      <name val="Arial"/>
      <family val="2"/>
      <charset val="1"/>
    </font>
    <font>
      <b/>
      <sz val="10"/>
      <name val="Arial"/>
      <family val="2"/>
      <charset val="1"/>
    </font>
    <font>
      <b/>
      <sz val="10"/>
      <color rgb="FF0000EE"/>
      <name val="Arial"/>
      <family val="2"/>
      <charset val="1"/>
    </font>
    <font>
      <sz val="10"/>
      <color rgb="FF18A303"/>
      <name val="Arial"/>
      <family val="2"/>
      <charset val="1"/>
    </font>
    <font>
      <vertAlign val="subscript"/>
      <sz val="10"/>
      <name val="Arial"/>
      <family val="2"/>
      <charset val="1"/>
    </font>
    <font>
      <sz val="10"/>
      <color rgb="FF000000"/>
      <name val="Arial"/>
      <family val="2"/>
      <charset val="1"/>
    </font>
    <font>
      <sz val="10"/>
      <name val="Times New Roman"/>
      <family val="1"/>
      <charset val="1"/>
    </font>
    <font>
      <b/>
      <sz val="10"/>
      <color theme="10"/>
      <name val="Arial"/>
      <family val="2"/>
      <charset val="1"/>
    </font>
    <font>
      <sz val="10"/>
      <color rgb="FF18A303"/>
      <name val="Times New Roman"/>
      <family val="1"/>
      <charset val="1"/>
    </font>
    <font>
      <b/>
      <vertAlign val="subscript"/>
      <sz val="10"/>
      <name val="Arial"/>
      <family val="2"/>
      <charset val="1"/>
    </font>
    <font>
      <b/>
      <sz val="10"/>
      <name val="Times New Roman"/>
      <family val="1"/>
      <charset val="1"/>
    </font>
    <font>
      <sz val="10"/>
      <color rgb="FF2E8B57"/>
      <name val="Times New Roman"/>
      <family val="1"/>
      <charset val="1"/>
    </font>
    <font>
      <sz val="12"/>
      <name val="Arial"/>
      <family val="2"/>
      <charset val="1"/>
    </font>
    <font>
      <vertAlign val="subscript"/>
      <sz val="12"/>
      <name val="Arial"/>
      <family val="2"/>
      <charset val="1"/>
    </font>
    <font>
      <b/>
      <sz val="10"/>
      <color rgb="FF2E8B57"/>
      <name val="Arial"/>
      <family val="2"/>
      <charset val="1"/>
    </font>
    <font>
      <sz val="10"/>
      <color rgb="FF2E8B57"/>
      <name val="Arial"/>
      <family val="2"/>
      <charset val="1"/>
    </font>
    <font>
      <b/>
      <sz val="10"/>
      <color rgb="FF000000"/>
      <name val="URWPalladioL-Bold"/>
    </font>
    <font>
      <b/>
      <sz val="10"/>
      <name val="Arial"/>
      <family val="2"/>
    </font>
    <font>
      <sz val="1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FFD546"/>
        <bgColor rgb="FFFFCC99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77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5" fillId="0" borderId="0" xfId="0" applyFont="1"/>
    <xf numFmtId="0" fontId="6" fillId="0" borderId="0" xfId="0" applyFont="1" applyAlignment="1">
      <alignment wrapText="1"/>
    </xf>
    <xf numFmtId="0" fontId="7" fillId="0" borderId="0" xfId="0" applyFont="1" applyAlignment="1">
      <alignment horizontal="center"/>
    </xf>
    <xf numFmtId="0" fontId="7" fillId="2" borderId="0" xfId="0" applyFont="1" applyFill="1" applyAlignment="1">
      <alignment horizontal="center"/>
    </xf>
    <xf numFmtId="0" fontId="5" fillId="0" borderId="0" xfId="0" applyFont="1" applyAlignment="1">
      <alignment horizontal="center"/>
    </xf>
    <xf numFmtId="0" fontId="0" fillId="0" borderId="0" xfId="0" applyFont="1" applyAlignment="1">
      <alignment horizontal="center"/>
    </xf>
    <xf numFmtId="11" fontId="6" fillId="0" borderId="0" xfId="0" applyNumberFormat="1" applyFont="1" applyAlignment="1">
      <alignment wrapText="1"/>
    </xf>
    <xf numFmtId="0" fontId="6" fillId="0" borderId="1" xfId="0" applyFont="1" applyBorder="1" applyAlignment="1">
      <alignment wrapText="1"/>
    </xf>
    <xf numFmtId="0" fontId="5" fillId="3" borderId="0" xfId="0" applyFont="1" applyFill="1"/>
    <xf numFmtId="0" fontId="8" fillId="0" borderId="0" xfId="0" applyFont="1" applyAlignment="1">
      <alignment wrapText="1"/>
    </xf>
    <xf numFmtId="10" fontId="8" fillId="0" borderId="0" xfId="0" applyNumberFormat="1" applyFont="1" applyAlignment="1">
      <alignment horizontal="center" wrapText="1"/>
    </xf>
    <xf numFmtId="10" fontId="0" fillId="0" borderId="0" xfId="0" applyNumberFormat="1"/>
    <xf numFmtId="0" fontId="6" fillId="0" borderId="0" xfId="0" applyFont="1"/>
    <xf numFmtId="0" fontId="0" fillId="0" borderId="2" xfId="0" applyBorder="1" applyAlignment="1">
      <alignment horizontal="center"/>
    </xf>
    <xf numFmtId="0" fontId="0" fillId="0" borderId="0" xfId="0" applyFont="1" applyAlignment="1">
      <alignment horizontal="right"/>
    </xf>
    <xf numFmtId="0" fontId="0" fillId="0" borderId="3" xfId="0" applyFont="1" applyBorder="1" applyAlignment="1">
      <alignment horizontal="center"/>
    </xf>
    <xf numFmtId="0" fontId="1" fillId="0" borderId="0" xfId="0" applyFont="1" applyAlignment="1">
      <alignment horizontal="left"/>
    </xf>
    <xf numFmtId="0" fontId="1" fillId="0" borderId="3" xfId="0" applyFont="1" applyBorder="1" applyAlignment="1">
      <alignment horizontal="center"/>
    </xf>
    <xf numFmtId="0" fontId="0" fillId="0" borderId="4" xfId="0" applyBorder="1" applyAlignment="1">
      <alignment horizontal="center"/>
    </xf>
    <xf numFmtId="164" fontId="6" fillId="0" borderId="0" xfId="0" applyNumberFormat="1" applyFont="1" applyAlignment="1">
      <alignment wrapText="1"/>
    </xf>
    <xf numFmtId="164" fontId="0" fillId="0" borderId="0" xfId="0" applyNumberFormat="1"/>
    <xf numFmtId="164" fontId="6" fillId="0" borderId="1" xfId="0" applyNumberFormat="1" applyFont="1" applyBorder="1" applyAlignment="1">
      <alignment wrapText="1"/>
    </xf>
    <xf numFmtId="0" fontId="1" fillId="0" borderId="0" xfId="0" applyFont="1" applyAlignment="1">
      <alignment horizontal="right"/>
    </xf>
    <xf numFmtId="164" fontId="10" fillId="0" borderId="0" xfId="0" applyNumberFormat="1" applyFont="1" applyAlignment="1">
      <alignment wrapText="1"/>
    </xf>
    <xf numFmtId="164" fontId="11" fillId="0" borderId="0" xfId="0" applyNumberFormat="1" applyFont="1" applyAlignment="1">
      <alignment wrapText="1"/>
    </xf>
    <xf numFmtId="0" fontId="0" fillId="0" borderId="3" xfId="0" applyBorder="1"/>
    <xf numFmtId="0" fontId="1" fillId="0" borderId="4" xfId="0" applyFont="1" applyBorder="1" applyAlignment="1">
      <alignment horizontal="center"/>
    </xf>
    <xf numFmtId="0" fontId="0" fillId="0" borderId="0" xfId="0" applyFont="1" applyAlignment="1">
      <alignment horizontal="right" vertical="center"/>
    </xf>
    <xf numFmtId="164" fontId="6" fillId="0" borderId="0" xfId="0" applyNumberFormat="1" applyFont="1" applyAlignment="1">
      <alignment vertical="center" wrapText="1"/>
    </xf>
    <xf numFmtId="0" fontId="1" fillId="0" borderId="0" xfId="0" applyFont="1" applyBorder="1" applyAlignment="1">
      <alignment horizontal="center"/>
    </xf>
    <xf numFmtId="164" fontId="0" fillId="0" borderId="0" xfId="0" applyNumberFormat="1" applyAlignment="1">
      <alignment horizontal="center"/>
    </xf>
    <xf numFmtId="0" fontId="12" fillId="0" borderId="0" xfId="0" applyFont="1" applyAlignment="1">
      <alignment horizontal="right"/>
    </xf>
    <xf numFmtId="10" fontId="0" fillId="0" borderId="0" xfId="0" applyNumberFormat="1" applyAlignment="1">
      <alignment horizontal="center"/>
    </xf>
    <xf numFmtId="10" fontId="14" fillId="2" borderId="0" xfId="0" applyNumberFormat="1" applyFont="1" applyFill="1" applyAlignment="1">
      <alignment horizontal="center"/>
    </xf>
    <xf numFmtId="10" fontId="14" fillId="0" borderId="0" xfId="0" applyNumberFormat="1" applyFont="1" applyAlignment="1">
      <alignment horizontal="center"/>
    </xf>
    <xf numFmtId="10" fontId="1" fillId="0" borderId="0" xfId="0" applyNumberFormat="1" applyFont="1" applyAlignment="1">
      <alignment horizontal="center"/>
    </xf>
    <xf numFmtId="10" fontId="15" fillId="0" borderId="0" xfId="0" applyNumberFormat="1" applyFont="1" applyAlignment="1">
      <alignment horizontal="center"/>
    </xf>
    <xf numFmtId="0" fontId="0" fillId="0" borderId="0" xfId="0" applyFont="1" applyAlignment="1">
      <alignment horizontal="left"/>
    </xf>
    <xf numFmtId="0" fontId="0" fillId="0" borderId="2" xfId="0" applyFont="1" applyBorder="1" applyAlignment="1">
      <alignment horizontal="center"/>
    </xf>
    <xf numFmtId="0" fontId="0" fillId="0" borderId="0" xfId="0" applyFont="1"/>
    <xf numFmtId="0" fontId="0" fillId="0" borderId="0" xfId="0" applyFont="1" applyAlignment="1">
      <alignment wrapText="1"/>
    </xf>
    <xf numFmtId="164" fontId="0" fillId="0" borderId="0" xfId="0" applyNumberFormat="1" applyFont="1" applyAlignment="1">
      <alignment wrapText="1"/>
    </xf>
    <xf numFmtId="164" fontId="0" fillId="0" borderId="0" xfId="0" applyNumberFormat="1" applyFont="1"/>
    <xf numFmtId="11" fontId="0" fillId="0" borderId="0" xfId="0" applyNumberFormat="1" applyFont="1" applyAlignment="1">
      <alignment wrapText="1"/>
    </xf>
    <xf numFmtId="0" fontId="15" fillId="0" borderId="0" xfId="0" applyFont="1" applyAlignment="1">
      <alignment wrapText="1"/>
    </xf>
    <xf numFmtId="0" fontId="0" fillId="0" borderId="3" xfId="0" applyFont="1" applyBorder="1"/>
    <xf numFmtId="164" fontId="0" fillId="0" borderId="0" xfId="0" applyNumberFormat="1" applyFont="1" applyAlignment="1">
      <alignment vertical="center" wrapText="1"/>
    </xf>
    <xf numFmtId="164" fontId="0" fillId="0" borderId="0" xfId="0" applyNumberFormat="1" applyFont="1" applyAlignment="1">
      <alignment horizontal="center"/>
    </xf>
    <xf numFmtId="10" fontId="0" fillId="0" borderId="0" xfId="0" applyNumberFormat="1" applyFont="1" applyAlignment="1">
      <alignment horizontal="center"/>
    </xf>
    <xf numFmtId="10" fontId="0" fillId="0" borderId="0" xfId="0" applyNumberFormat="1" applyFont="1" applyAlignment="1"/>
    <xf numFmtId="10" fontId="0" fillId="0" borderId="0" xfId="0" applyNumberFormat="1" applyFont="1"/>
    <xf numFmtId="10" fontId="0" fillId="0" borderId="0" xfId="0" applyNumberFormat="1" applyFont="1" applyAlignment="1">
      <alignment wrapText="1"/>
    </xf>
    <xf numFmtId="0" fontId="0" fillId="0" borderId="0" xfId="0" applyAlignment="1">
      <alignment vertical="center" wrapText="1"/>
    </xf>
    <xf numFmtId="11" fontId="0" fillId="0" borderId="0" xfId="0" applyNumberFormat="1" applyAlignment="1">
      <alignment vertical="center" wrapText="1"/>
    </xf>
    <xf numFmtId="165" fontId="0" fillId="0" borderId="0" xfId="0" applyNumberFormat="1"/>
    <xf numFmtId="0" fontId="16" fillId="0" borderId="0" xfId="0" applyFont="1"/>
    <xf numFmtId="166" fontId="0" fillId="0" borderId="0" xfId="0" applyNumberFormat="1" applyFont="1" applyAlignment="1">
      <alignment horizontal="center"/>
    </xf>
    <xf numFmtId="166" fontId="0" fillId="0" borderId="0" xfId="0" applyNumberFormat="1" applyFont="1" applyAlignment="1">
      <alignment wrapText="1"/>
    </xf>
    <xf numFmtId="166" fontId="0" fillId="0" borderId="0" xfId="0" applyNumberFormat="1" applyFont="1"/>
    <xf numFmtId="0" fontId="0" fillId="4" borderId="0" xfId="0" applyFill="1"/>
    <xf numFmtId="0" fontId="0" fillId="4" borderId="0" xfId="0" applyFont="1" applyFill="1" applyAlignment="1">
      <alignment horizontal="right"/>
    </xf>
    <xf numFmtId="164" fontId="0" fillId="4" borderId="0" xfId="0" applyNumberFormat="1" applyFont="1" applyFill="1" applyAlignment="1">
      <alignment horizontal="center"/>
    </xf>
    <xf numFmtId="0" fontId="0" fillId="0" borderId="0" xfId="0" applyAlignment="1">
      <alignment horizontal="right"/>
    </xf>
    <xf numFmtId="167" fontId="0" fillId="0" borderId="0" xfId="0" applyNumberFormat="1" applyFont="1" applyAlignment="1">
      <alignment horizontal="center"/>
    </xf>
    <xf numFmtId="167" fontId="0" fillId="0" borderId="0" xfId="0" applyNumberFormat="1"/>
    <xf numFmtId="167" fontId="0" fillId="0" borderId="0" xfId="0" applyNumberFormat="1" applyFont="1" applyAlignment="1">
      <alignment wrapText="1"/>
    </xf>
    <xf numFmtId="167" fontId="0" fillId="0" borderId="0" xfId="0" applyNumberFormat="1" applyAlignment="1">
      <alignment vertical="center" wrapText="1"/>
    </xf>
    <xf numFmtId="167" fontId="0" fillId="0" borderId="0" xfId="0" applyNumberFormat="1" applyFont="1" applyAlignment="1">
      <alignment vertical="center" wrapText="1"/>
    </xf>
    <xf numFmtId="0" fontId="17" fillId="0" borderId="0" xfId="0" applyFont="1" applyAlignment="1">
      <alignment horizontal="center"/>
    </xf>
    <xf numFmtId="10" fontId="18" fillId="0" borderId="0" xfId="0" applyNumberFormat="1" applyFont="1" applyAlignment="1">
      <alignment horizontal="center"/>
    </xf>
    <xf numFmtId="0" fontId="1" fillId="0" borderId="0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EE"/>
      <rgbColor rgb="FFFFFF00"/>
      <rgbColor rgb="FFE134FB"/>
      <rgbColor rgb="FF00FFFF"/>
      <rgbColor rgb="FF800000"/>
      <rgbColor rgb="FF18A303"/>
      <rgbColor rgb="FF000080"/>
      <rgbColor rgb="FF808000"/>
      <rgbColor rgb="FF8E03A3"/>
      <rgbColor rgb="FF008080"/>
      <rgbColor rgb="52D9D9D9"/>
      <rgbColor rgb="FF808080"/>
      <rgbColor rgb="FF9999FF"/>
      <rgbColor rgb="FF993366"/>
      <rgbColor rgb="FFFFFFCC"/>
      <rgbColor rgb="FFCCFFFF"/>
      <rgbColor rgb="FF660066"/>
      <rgbColor rgb="FFFF8080"/>
      <rgbColor rgb="FF0369A3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EB78FD"/>
      <rgbColor rgb="FFFFCC99"/>
      <rgbColor rgb="FF3366FF"/>
      <rgbColor rgb="FF33CCCC"/>
      <rgbColor rgb="FF99CC00"/>
      <rgbColor rgb="FFFFD546"/>
      <rgbColor rgb="FFFF9900"/>
      <rgbColor rgb="FFFF6600"/>
      <rgbColor rgb="FF595959"/>
      <rgbColor rgb="FF969696"/>
      <rgbColor rgb="FF003366"/>
      <rgbColor rgb="FF2E8B57"/>
      <rgbColor rgb="FF003300"/>
      <rgbColor rgb="FF333300"/>
      <rgbColor rgb="FFA33E03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200" b="1" u="none" strike="noStrike" spc="150">
                <a:solidFill>
                  <a:schemeClr val="tx1">
                    <a:lumMod val="50000"/>
                    <a:lumOff val="50000"/>
                  </a:schemeClr>
                </a:solidFill>
                <a:uFillTx/>
                <a:latin typeface="Arial"/>
                <a:ea typeface="DejaVu Sans"/>
              </a:rPr>
              <a:t>Gasolina (C₅–C₁₁, mol/s)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'Massa Cat  x Pressao 543K_583K '!$B$67</c:f>
              <c:strCache>
                <c:ptCount val="1"/>
                <c:pt idx="0">
                  <c:v>T=543 K (25 kg)</c:v>
                </c:pt>
              </c:strCache>
            </c:strRef>
          </c:tx>
          <c:spPr>
            <a:ln w="38160">
              <a:solidFill>
                <a:srgbClr val="18A303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381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'Massa Cat  x Pressao 543K_583K '!$C$66:$F$66</c:f>
              <c:numCache>
                <c:formatCode>General</c:formatCode>
                <c:ptCount val="4"/>
                <c:pt idx="0">
                  <c:v>1.0129999999999999</c:v>
                </c:pt>
                <c:pt idx="1">
                  <c:v>2.0259999999999998</c:v>
                </c:pt>
                <c:pt idx="2">
                  <c:v>3.0390000000000001</c:v>
                </c:pt>
                <c:pt idx="3">
                  <c:v>4.0529999999999999</c:v>
                </c:pt>
              </c:numCache>
            </c:numRef>
          </c:cat>
          <c:val>
            <c:numRef>
              <c:f>'Massa Cat  x Pressao 543K_583K '!$C$67:$F$67</c:f>
              <c:numCache>
                <c:formatCode>0.0000000000</c:formatCode>
                <c:ptCount val="4"/>
                <c:pt idx="0">
                  <c:v>8.2885483499999996E-2</c:v>
                </c:pt>
                <c:pt idx="1">
                  <c:v>0.10394621400000001</c:v>
                </c:pt>
                <c:pt idx="2">
                  <c:v>0.11701672300000002</c:v>
                </c:pt>
                <c:pt idx="3">
                  <c:v>0.126207663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67B-4468-B418-62B61B4DF24A}"/>
            </c:ext>
          </c:extLst>
        </c:ser>
        <c:ser>
          <c:idx val="1"/>
          <c:order val="1"/>
          <c:tx>
            <c:strRef>
              <c:f>'Massa Cat  x Pressao 543K_583K '!$B$68</c:f>
              <c:strCache>
                <c:ptCount val="1"/>
                <c:pt idx="0">
                  <c:v>T=543 K (35 kg)</c:v>
                </c:pt>
              </c:strCache>
            </c:strRef>
          </c:tx>
          <c:spPr>
            <a:ln w="73080">
              <a:solidFill>
                <a:srgbClr val="0369A3"/>
              </a:solidFill>
              <a:round/>
            </a:ln>
          </c:spPr>
          <c:marker>
            <c:symbol val="none"/>
          </c:marker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F67B-4468-B418-62B61B4DF24A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2-F67B-4468-B418-62B61B4DF24A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03-F67B-4468-B418-62B61B4DF24A}"/>
              </c:ext>
            </c:extLst>
          </c:dPt>
          <c:dLbls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endParaRPr lang="pt-BR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F67B-4468-B418-62B61B4DF24A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endParaRPr lang="pt-BR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F67B-4468-B418-62B61B4DF24A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endParaRPr lang="pt-BR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F67B-4468-B418-62B61B4DF2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73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'Massa Cat  x Pressao 543K_583K '!$C$66:$F$66</c:f>
              <c:numCache>
                <c:formatCode>General</c:formatCode>
                <c:ptCount val="4"/>
                <c:pt idx="0">
                  <c:v>1.0129999999999999</c:v>
                </c:pt>
                <c:pt idx="1">
                  <c:v>2.0259999999999998</c:v>
                </c:pt>
                <c:pt idx="2">
                  <c:v>3.0390000000000001</c:v>
                </c:pt>
                <c:pt idx="3">
                  <c:v>4.0529999999999999</c:v>
                </c:pt>
              </c:numCache>
            </c:numRef>
          </c:cat>
          <c:val>
            <c:numRef>
              <c:f>'Massa Cat  x Pressao 543K_583K '!$C$68:$F$68</c:f>
              <c:numCache>
                <c:formatCode>0.0000000000</c:formatCode>
                <c:ptCount val="4"/>
                <c:pt idx="0">
                  <c:v>8.3054905600000006E-2</c:v>
                </c:pt>
                <c:pt idx="1">
                  <c:v>0.10393884900000001</c:v>
                </c:pt>
                <c:pt idx="2">
                  <c:v>0.117257404</c:v>
                </c:pt>
                <c:pt idx="3">
                  <c:v>0.127059326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F67B-4468-B418-62B61B4DF24A}"/>
            </c:ext>
          </c:extLst>
        </c:ser>
        <c:ser>
          <c:idx val="2"/>
          <c:order val="2"/>
          <c:tx>
            <c:strRef>
              <c:f>'Massa Cat  x Pressao 543K_583K '!$B$69</c:f>
              <c:strCache>
                <c:ptCount val="1"/>
                <c:pt idx="0">
                  <c:v>T=583 K (25 kg)</c:v>
                </c:pt>
              </c:strCache>
            </c:strRef>
          </c:tx>
          <c:spPr>
            <a:ln w="38160">
              <a:solidFill>
                <a:srgbClr val="A33E03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381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'Massa Cat  x Pressao 543K_583K '!$C$66:$F$66</c:f>
              <c:numCache>
                <c:formatCode>General</c:formatCode>
                <c:ptCount val="4"/>
                <c:pt idx="0">
                  <c:v>1.0129999999999999</c:v>
                </c:pt>
                <c:pt idx="1">
                  <c:v>2.0259999999999998</c:v>
                </c:pt>
                <c:pt idx="2">
                  <c:v>3.0390000000000001</c:v>
                </c:pt>
                <c:pt idx="3">
                  <c:v>4.0529999999999999</c:v>
                </c:pt>
              </c:numCache>
            </c:numRef>
          </c:cat>
          <c:val>
            <c:numRef>
              <c:f>'Massa Cat  x Pressao 543K_583K '!$C$69:$F$69</c:f>
              <c:numCache>
                <c:formatCode>0.0000000000</c:formatCode>
                <c:ptCount val="4"/>
                <c:pt idx="0">
                  <c:v>9.0440382999999985E-2</c:v>
                </c:pt>
                <c:pt idx="1">
                  <c:v>0.112293778</c:v>
                </c:pt>
                <c:pt idx="2">
                  <c:v>0.12616232399999999</c:v>
                </c:pt>
                <c:pt idx="3">
                  <c:v>0.13632218100000001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F67B-4468-B418-62B61B4DF24A}"/>
            </c:ext>
          </c:extLst>
        </c:ser>
        <c:ser>
          <c:idx val="3"/>
          <c:order val="3"/>
          <c:tx>
            <c:strRef>
              <c:f>'Massa Cat  x Pressao 543K_583K '!$B$70</c:f>
              <c:strCache>
                <c:ptCount val="1"/>
                <c:pt idx="0">
                  <c:v>T=583 K (35 kg)</c:v>
                </c:pt>
              </c:strCache>
            </c:strRef>
          </c:tx>
          <c:spPr>
            <a:ln w="38160">
              <a:solidFill>
                <a:srgbClr val="8E03A3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381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'Massa Cat  x Pressao 543K_583K '!$C$66:$F$66</c:f>
              <c:numCache>
                <c:formatCode>General</c:formatCode>
                <c:ptCount val="4"/>
                <c:pt idx="0">
                  <c:v>1.0129999999999999</c:v>
                </c:pt>
                <c:pt idx="1">
                  <c:v>2.0259999999999998</c:v>
                </c:pt>
                <c:pt idx="2">
                  <c:v>3.0390000000000001</c:v>
                </c:pt>
                <c:pt idx="3">
                  <c:v>4.0529999999999999</c:v>
                </c:pt>
              </c:numCache>
            </c:numRef>
          </c:cat>
          <c:val>
            <c:numRef>
              <c:f>'Massa Cat  x Pressao 543K_583K '!$C$70:$F$70</c:f>
              <c:numCache>
                <c:formatCode>0.0000000000</c:formatCode>
                <c:ptCount val="4"/>
                <c:pt idx="0">
                  <c:v>9.0134220600000009E-2</c:v>
                </c:pt>
                <c:pt idx="1">
                  <c:v>0.11199497600000001</c:v>
                </c:pt>
                <c:pt idx="2">
                  <c:v>0.12595657600000001</c:v>
                </c:pt>
                <c:pt idx="3">
                  <c:v>0.13614912099999998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F67B-4468-B418-62B61B4DF24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16433210"/>
        <c:axId val="48607473"/>
      </c:lineChart>
      <c:catAx>
        <c:axId val="16433210"/>
        <c:scaling>
          <c:orientation val="minMax"/>
        </c:scaling>
        <c:delete val="0"/>
        <c:axPos val="b"/>
        <c:majorGridlines>
          <c:spPr>
            <a:ln w="9360">
              <a:solidFill>
                <a:schemeClr val="dk1">
                  <a:lumMod val="15000"/>
                  <a:lumOff val="85000"/>
                  <a:alpha val="32000"/>
                </a:schemeClr>
              </a:solidFill>
              <a:round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Pressão (bar)</a:t>
                </a:r>
              </a:p>
            </c:rich>
          </c:tx>
          <c:layout>
            <c:manualLayout>
              <c:xMode val="edge"/>
              <c:yMode val="edge"/>
              <c:x val="0.79425686087896319"/>
              <c:y val="0.90697822713168075"/>
            </c:manualLayout>
          </c:layout>
          <c:overlay val="0"/>
        </c:title>
        <c:numFmt formatCode="General" sourceLinked="0"/>
        <c:majorTickMark val="none"/>
        <c:minorTickMark val="none"/>
        <c:tickLblPos val="nextTo"/>
        <c:spPr>
          <a:ln w="324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Arial"/>
                <a:ea typeface="DejaVu Sans"/>
              </a:defRPr>
            </a:pPr>
            <a:endParaRPr lang="pt-BR"/>
          </a:p>
        </c:txPr>
        <c:crossAx val="48607473"/>
        <c:crosses val="autoZero"/>
        <c:auto val="1"/>
        <c:lblAlgn val="ctr"/>
        <c:lblOffset val="100"/>
        <c:noMultiLvlLbl val="0"/>
      </c:catAx>
      <c:valAx>
        <c:axId val="48607473"/>
        <c:scaling>
          <c:orientation val="minMax"/>
          <c:max val="0.14000000000000001"/>
          <c:min val="0.08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  <a:alpha val="32000"/>
                </a:schemeClr>
              </a:solidFill>
              <a:round/>
            </a:ln>
          </c:spPr>
        </c:majorGridlines>
        <c:numFmt formatCode="0.000" sourceLinked="0"/>
        <c:majorTickMark val="none"/>
        <c:minorTickMark val="none"/>
        <c:tickLblPos val="nextTo"/>
        <c:spPr>
          <a:ln w="3240">
            <a:solidFill>
              <a:schemeClr val="accent3"/>
            </a:solidFill>
            <a:prstDash val="sysDash"/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Arial"/>
                <a:ea typeface="DejaVu Sans"/>
              </a:defRPr>
            </a:pPr>
            <a:endParaRPr lang="pt-BR"/>
          </a:p>
        </c:txPr>
        <c:crossAx val="16433210"/>
        <c:crosses val="autoZero"/>
        <c:crossBetween val="between"/>
      </c:valAx>
      <c:spPr>
        <a:noFill/>
        <a:ln w="0">
          <a:noFill/>
        </a:ln>
      </c:spPr>
    </c:plotArea>
    <c:legend>
      <c:legendPos val="t"/>
      <c:layout>
        <c:manualLayout>
          <c:xMode val="edge"/>
          <c:yMode val="edge"/>
          <c:x val="0.431165573053368"/>
          <c:y val="0.66802341113458497"/>
          <c:w val="0.49322440944881901"/>
          <c:h val="0.11150123250699299"/>
        </c:manualLayout>
      </c:layout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Arial"/>
              <a:ea typeface="DejaVu Sans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Arial"/>
                <a:ea typeface="DejaVu Sans"/>
              </a:rPr>
              <a:t>Eficiência de carbono para gasolina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'Massa Cat  x Pressao 543K_583K '!$B$86</c:f>
              <c:strCache>
                <c:ptCount val="1"/>
                <c:pt idx="0">
                  <c:v>T=543 K (25 kg)</c:v>
                </c:pt>
              </c:strCache>
            </c:strRef>
          </c:tx>
          <c:spPr>
            <a:ln w="28440" cap="rnd">
              <a:solidFill>
                <a:srgbClr val="18A303"/>
              </a:solidFill>
              <a:round/>
            </a:ln>
          </c:spPr>
          <c:marker>
            <c:symbol val="circle"/>
            <c:size val="5"/>
            <c:spPr>
              <a:solidFill>
                <a:srgbClr val="18A303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'Massa Cat  x Pressao 543K_583K '!$C$85:$F$85</c:f>
              <c:numCache>
                <c:formatCode>General</c:formatCode>
                <c:ptCount val="4"/>
                <c:pt idx="0">
                  <c:v>1.0129999999999999</c:v>
                </c:pt>
                <c:pt idx="1">
                  <c:v>2.0259999999999998</c:v>
                </c:pt>
                <c:pt idx="2">
                  <c:v>3.0390000000000001</c:v>
                </c:pt>
                <c:pt idx="3">
                  <c:v>4.0529999999999999</c:v>
                </c:pt>
              </c:numCache>
            </c:numRef>
          </c:cat>
          <c:val>
            <c:numRef>
              <c:f>'Massa Cat  x Pressao 543K_583K '!$C$86:$F$86</c:f>
              <c:numCache>
                <c:formatCode>0.00%</c:formatCode>
                <c:ptCount val="4"/>
                <c:pt idx="0">
                  <c:v>0.19048465545000001</c:v>
                </c:pt>
                <c:pt idx="1">
                  <c:v>0.23690090040000003</c:v>
                </c:pt>
                <c:pt idx="2">
                  <c:v>0.265210485</c:v>
                </c:pt>
                <c:pt idx="3">
                  <c:v>0.28482126930000001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AAA1-459C-AB1B-0CA153F27A54}"/>
            </c:ext>
          </c:extLst>
        </c:ser>
        <c:ser>
          <c:idx val="1"/>
          <c:order val="1"/>
          <c:tx>
            <c:strRef>
              <c:f>'Massa Cat  x Pressao 543K_583K '!$B$87</c:f>
              <c:strCache>
                <c:ptCount val="1"/>
                <c:pt idx="0">
                  <c:v>T=543 K (35 kg)</c:v>
                </c:pt>
              </c:strCache>
            </c:strRef>
          </c:tx>
          <c:spPr>
            <a:ln w="28440" cap="rnd">
              <a:solidFill>
                <a:srgbClr val="0369A3"/>
              </a:solidFill>
              <a:round/>
            </a:ln>
          </c:spPr>
          <c:marker>
            <c:symbol val="circle"/>
            <c:size val="5"/>
            <c:spPr>
              <a:solidFill>
                <a:srgbClr val="0369A3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'Massa Cat  x Pressao 543K_583K '!$C$85:$F$85</c:f>
              <c:numCache>
                <c:formatCode>General</c:formatCode>
                <c:ptCount val="4"/>
                <c:pt idx="0">
                  <c:v>1.0129999999999999</c:v>
                </c:pt>
                <c:pt idx="1">
                  <c:v>2.0259999999999998</c:v>
                </c:pt>
                <c:pt idx="2">
                  <c:v>3.0390000000000001</c:v>
                </c:pt>
                <c:pt idx="3">
                  <c:v>4.0529999999999999</c:v>
                </c:pt>
              </c:numCache>
            </c:numRef>
          </c:cat>
          <c:val>
            <c:numRef>
              <c:f>'Massa Cat  x Pressao 543K_583K '!$C$87:$F$87</c:f>
              <c:numCache>
                <c:formatCode>0.00%</c:formatCode>
                <c:ptCount val="4"/>
                <c:pt idx="0">
                  <c:v>0.19087986372000001</c:v>
                </c:pt>
                <c:pt idx="1">
                  <c:v>0.23688881370000001</c:v>
                </c:pt>
                <c:pt idx="2">
                  <c:v>0.26576607930000001</c:v>
                </c:pt>
                <c:pt idx="3">
                  <c:v>0.28676703420000005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AAA1-459C-AB1B-0CA153F27A54}"/>
            </c:ext>
          </c:extLst>
        </c:ser>
        <c:ser>
          <c:idx val="2"/>
          <c:order val="2"/>
          <c:tx>
            <c:strRef>
              <c:f>'Massa Cat  x Pressao 543K_583K '!$B$88</c:f>
              <c:strCache>
                <c:ptCount val="1"/>
                <c:pt idx="0">
                  <c:v>T=583 K (25 kg)</c:v>
                </c:pt>
              </c:strCache>
            </c:strRef>
          </c:tx>
          <c:spPr>
            <a:ln w="28440" cap="rnd">
              <a:solidFill>
                <a:srgbClr val="A33E03"/>
              </a:solidFill>
              <a:round/>
            </a:ln>
          </c:spPr>
          <c:marker>
            <c:symbol val="circle"/>
            <c:size val="5"/>
            <c:spPr>
              <a:solidFill>
                <a:srgbClr val="A33E03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'Massa Cat  x Pressao 543K_583K '!$C$85:$F$85</c:f>
              <c:numCache>
                <c:formatCode>General</c:formatCode>
                <c:ptCount val="4"/>
                <c:pt idx="0">
                  <c:v>1.0129999999999999</c:v>
                </c:pt>
                <c:pt idx="1">
                  <c:v>2.0259999999999998</c:v>
                </c:pt>
                <c:pt idx="2">
                  <c:v>3.0390000000000001</c:v>
                </c:pt>
                <c:pt idx="3">
                  <c:v>4.0529999999999999</c:v>
                </c:pt>
              </c:numCache>
            </c:numRef>
          </c:cat>
          <c:val>
            <c:numRef>
              <c:f>'Massa Cat  x Pressao 543K_583K '!$C$88:$F$88</c:f>
              <c:numCache>
                <c:formatCode>0.00%</c:formatCode>
                <c:ptCount val="4"/>
                <c:pt idx="0">
                  <c:v>0.20722291380000002</c:v>
                </c:pt>
                <c:pt idx="1">
                  <c:v>0.25501095960000003</c:v>
                </c:pt>
                <c:pt idx="2">
                  <c:v>0.28481311709999996</c:v>
                </c:pt>
                <c:pt idx="3">
                  <c:v>0.30635781360000003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AAA1-459C-AB1B-0CA153F27A54}"/>
            </c:ext>
          </c:extLst>
        </c:ser>
        <c:ser>
          <c:idx val="3"/>
          <c:order val="3"/>
          <c:tx>
            <c:strRef>
              <c:f>'Massa Cat  x Pressao 543K_583K '!$B$89</c:f>
              <c:strCache>
                <c:ptCount val="1"/>
                <c:pt idx="0">
                  <c:v>T=583 K (35 kg)</c:v>
                </c:pt>
              </c:strCache>
            </c:strRef>
          </c:tx>
          <c:spPr>
            <a:ln w="28440" cap="rnd">
              <a:solidFill>
                <a:srgbClr val="8E03A3"/>
              </a:solidFill>
              <a:round/>
            </a:ln>
          </c:spPr>
          <c:marker>
            <c:symbol val="circle"/>
            <c:size val="5"/>
            <c:spPr>
              <a:solidFill>
                <a:srgbClr val="8E03A3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'Massa Cat  x Pressao 543K_583K '!$C$85:$F$85</c:f>
              <c:numCache>
                <c:formatCode>General</c:formatCode>
                <c:ptCount val="4"/>
                <c:pt idx="0">
                  <c:v>1.0129999999999999</c:v>
                </c:pt>
                <c:pt idx="1">
                  <c:v>2.0259999999999998</c:v>
                </c:pt>
                <c:pt idx="2">
                  <c:v>3.0390000000000001</c:v>
                </c:pt>
                <c:pt idx="3">
                  <c:v>4.0529999999999999</c:v>
                </c:pt>
              </c:numCache>
            </c:numRef>
          </c:cat>
          <c:val>
            <c:numRef>
              <c:f>'Massa Cat  x Pressao 543K_583K '!$C$89:$F$89</c:f>
              <c:numCache>
                <c:formatCode>0.00%</c:formatCode>
                <c:ptCount val="4"/>
                <c:pt idx="0">
                  <c:v>0.20653602738000001</c:v>
                </c:pt>
                <c:pt idx="1">
                  <c:v>0.25435438650000003</c:v>
                </c:pt>
                <c:pt idx="2">
                  <c:v>0.28437631050000006</c:v>
                </c:pt>
                <c:pt idx="3">
                  <c:v>0.30599991869999998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AAA1-459C-AB1B-0CA153F27A5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56914570"/>
        <c:axId val="83099943"/>
      </c:lineChart>
      <c:catAx>
        <c:axId val="56914570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t-BR" sz="1000" b="1" i="0" u="none" strike="noStrike" baseline="0">
                    <a:effectLst/>
                  </a:rPr>
                  <a:t>Pressão (bar)</a:t>
                </a:r>
                <a:endParaRPr lang="pt-BR"/>
              </a:p>
            </c:rich>
          </c:tx>
          <c:layout>
            <c:manualLayout>
              <c:xMode val="edge"/>
              <c:yMode val="edge"/>
              <c:x val="0.7914788892750827"/>
              <c:y val="0.71373720431689402"/>
            </c:manualLayout>
          </c:layout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Arial"/>
                <a:ea typeface="DejaVu Sans"/>
              </a:defRPr>
            </a:pPr>
            <a:endParaRPr lang="pt-BR"/>
          </a:p>
        </c:txPr>
        <c:crossAx val="83099943"/>
        <c:crosses val="autoZero"/>
        <c:auto val="1"/>
        <c:lblAlgn val="ctr"/>
        <c:lblOffset val="100"/>
        <c:noMultiLvlLbl val="0"/>
      </c:catAx>
      <c:valAx>
        <c:axId val="83099943"/>
        <c:scaling>
          <c:orientation val="minMax"/>
          <c:min val="0.17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0.00%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Arial"/>
                <a:ea typeface="DejaVu Sans"/>
              </a:defRPr>
            </a:pPr>
            <a:endParaRPr lang="pt-BR"/>
          </a:p>
        </c:txPr>
        <c:crossAx val="5691457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Arial"/>
              <a:ea typeface="DejaVu Sans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Arial"/>
                <a:ea typeface="DejaVu Sans"/>
              </a:rPr>
              <a:t>C₁₆/Gasolina (sobrecrescimento)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'Massa Cat  x Pressao 543K_583K '!$B$107</c:f>
              <c:strCache>
                <c:ptCount val="1"/>
                <c:pt idx="0">
                  <c:v>T=543 K (25 kg)</c:v>
                </c:pt>
              </c:strCache>
            </c:strRef>
          </c:tx>
          <c:spPr>
            <a:ln w="28440" cap="rnd">
              <a:solidFill>
                <a:srgbClr val="18A303"/>
              </a:solidFill>
              <a:round/>
            </a:ln>
          </c:spPr>
          <c:marker>
            <c:symbol val="circle"/>
            <c:size val="5"/>
            <c:spPr>
              <a:solidFill>
                <a:srgbClr val="18A303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'Massa Cat  x Pressao 543K_583K '!$C$106:$F$106</c:f>
              <c:numCache>
                <c:formatCode>General</c:formatCode>
                <c:ptCount val="4"/>
                <c:pt idx="0">
                  <c:v>1.0129999999999999</c:v>
                </c:pt>
                <c:pt idx="1">
                  <c:v>2.0259999999999998</c:v>
                </c:pt>
                <c:pt idx="2">
                  <c:v>3.0390000000000001</c:v>
                </c:pt>
                <c:pt idx="3">
                  <c:v>4.0529999999999999</c:v>
                </c:pt>
              </c:numCache>
            </c:numRef>
          </c:cat>
          <c:val>
            <c:numRef>
              <c:f>'Massa Cat  x Pressao 543K_583K '!$C$107:$F$107</c:f>
              <c:numCache>
                <c:formatCode>0.0000000000</c:formatCode>
                <c:ptCount val="4"/>
                <c:pt idx="0">
                  <c:v>1.9349666941377017</c:v>
                </c:pt>
                <c:pt idx="1">
                  <c:v>1.4529026521350743</c:v>
                </c:pt>
                <c:pt idx="2">
                  <c:v>1.235867030732009</c:v>
                </c:pt>
                <c:pt idx="3">
                  <c:v>1.1056216134831687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D40-45D9-9DD5-B4A3DB027E7C}"/>
            </c:ext>
          </c:extLst>
        </c:ser>
        <c:ser>
          <c:idx val="1"/>
          <c:order val="1"/>
          <c:tx>
            <c:strRef>
              <c:f>'Massa Cat  x Pressao 543K_583K '!$B$108</c:f>
              <c:strCache>
                <c:ptCount val="1"/>
                <c:pt idx="0">
                  <c:v>T=543 K (35 kg)</c:v>
                </c:pt>
              </c:strCache>
            </c:strRef>
          </c:tx>
          <c:spPr>
            <a:ln w="28440" cap="rnd">
              <a:solidFill>
                <a:srgbClr val="0369A3"/>
              </a:solidFill>
              <a:round/>
            </a:ln>
          </c:spPr>
          <c:marker>
            <c:symbol val="circle"/>
            <c:size val="5"/>
            <c:spPr>
              <a:solidFill>
                <a:srgbClr val="0369A3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'Massa Cat  x Pressao 543K_583K '!$C$106:$F$106</c:f>
              <c:numCache>
                <c:formatCode>General</c:formatCode>
                <c:ptCount val="4"/>
                <c:pt idx="0">
                  <c:v>1.0129999999999999</c:v>
                </c:pt>
                <c:pt idx="1">
                  <c:v>2.0259999999999998</c:v>
                </c:pt>
                <c:pt idx="2">
                  <c:v>3.0390000000000001</c:v>
                </c:pt>
                <c:pt idx="3">
                  <c:v>4.0529999999999999</c:v>
                </c:pt>
              </c:numCache>
            </c:numRef>
          </c:cat>
          <c:val>
            <c:numRef>
              <c:f>'Massa Cat  x Pressao 543K_583K '!$C$108:$F$108</c:f>
              <c:numCache>
                <c:formatCode>0.0000000000</c:formatCode>
                <c:ptCount val="4"/>
                <c:pt idx="0">
                  <c:v>1.9387961353603655</c:v>
                </c:pt>
                <c:pt idx="1">
                  <c:v>1.4555021674330835</c:v>
                </c:pt>
                <c:pt idx="2">
                  <c:v>1.2389326818117175</c:v>
                </c:pt>
                <c:pt idx="3">
                  <c:v>1.1098134583210366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D40-45D9-9DD5-B4A3DB027E7C}"/>
            </c:ext>
          </c:extLst>
        </c:ser>
        <c:ser>
          <c:idx val="2"/>
          <c:order val="2"/>
          <c:tx>
            <c:strRef>
              <c:f>'Massa Cat  x Pressao 543K_583K '!$B$109</c:f>
              <c:strCache>
                <c:ptCount val="1"/>
                <c:pt idx="0">
                  <c:v>T=583 K (25 kg)</c:v>
                </c:pt>
              </c:strCache>
            </c:strRef>
          </c:tx>
          <c:spPr>
            <a:ln w="28440" cap="rnd">
              <a:solidFill>
                <a:srgbClr val="A33E03"/>
              </a:solidFill>
              <a:round/>
            </a:ln>
          </c:spPr>
          <c:marker>
            <c:symbol val="circle"/>
            <c:size val="5"/>
            <c:spPr>
              <a:solidFill>
                <a:srgbClr val="A33E03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'Massa Cat  x Pressao 543K_583K '!$C$106:$F$106</c:f>
              <c:numCache>
                <c:formatCode>General</c:formatCode>
                <c:ptCount val="4"/>
                <c:pt idx="0">
                  <c:v>1.0129999999999999</c:v>
                </c:pt>
                <c:pt idx="1">
                  <c:v>2.0259999999999998</c:v>
                </c:pt>
                <c:pt idx="2">
                  <c:v>3.0390000000000001</c:v>
                </c:pt>
                <c:pt idx="3">
                  <c:v>4.0529999999999999</c:v>
                </c:pt>
              </c:numCache>
            </c:numRef>
          </c:cat>
          <c:val>
            <c:numRef>
              <c:f>'Massa Cat  x Pressao 543K_583K '!$C$109:$F$109</c:f>
              <c:numCache>
                <c:formatCode>0.0000000000</c:formatCode>
                <c:ptCount val="4"/>
                <c:pt idx="0">
                  <c:v>1.7462541042091786</c:v>
                </c:pt>
                <c:pt idx="1">
                  <c:v>1.3207547438647935</c:v>
                </c:pt>
                <c:pt idx="2">
                  <c:v>1.1288692652808141</c:v>
                </c:pt>
                <c:pt idx="3">
                  <c:v>1.0140486235325121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D40-45D9-9DD5-B4A3DB027E7C}"/>
            </c:ext>
          </c:extLst>
        </c:ser>
        <c:ser>
          <c:idx val="3"/>
          <c:order val="3"/>
          <c:tx>
            <c:strRef>
              <c:f>'Massa Cat  x Pressao 543K_583K '!$B$110</c:f>
              <c:strCache>
                <c:ptCount val="1"/>
                <c:pt idx="0">
                  <c:v>T=583 K (35 kg)</c:v>
                </c:pt>
              </c:strCache>
            </c:strRef>
          </c:tx>
          <c:spPr>
            <a:ln w="28440" cap="rnd">
              <a:solidFill>
                <a:srgbClr val="8E03A3"/>
              </a:solidFill>
              <a:round/>
            </a:ln>
          </c:spPr>
          <c:marker>
            <c:symbol val="circle"/>
            <c:size val="5"/>
            <c:spPr>
              <a:solidFill>
                <a:srgbClr val="8E03A3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'Massa Cat  x Pressao 543K_583K '!$C$106:$F$106</c:f>
              <c:numCache>
                <c:formatCode>General</c:formatCode>
                <c:ptCount val="4"/>
                <c:pt idx="0">
                  <c:v>1.0129999999999999</c:v>
                </c:pt>
                <c:pt idx="1">
                  <c:v>2.0259999999999998</c:v>
                </c:pt>
                <c:pt idx="2">
                  <c:v>3.0390000000000001</c:v>
                </c:pt>
                <c:pt idx="3">
                  <c:v>4.0529999999999999</c:v>
                </c:pt>
              </c:numCache>
            </c:numRef>
          </c:cat>
          <c:val>
            <c:numRef>
              <c:f>'Massa Cat  x Pressao 543K_583K '!$C$110:$F$110</c:f>
              <c:numCache>
                <c:formatCode>0.0000000000</c:formatCode>
                <c:ptCount val="4"/>
                <c:pt idx="0">
                  <c:v>1.758239089937834</c:v>
                </c:pt>
                <c:pt idx="1">
                  <c:v>1.3322210989178656</c:v>
                </c:pt>
                <c:pt idx="2">
                  <c:v>1.1394184770472007</c:v>
                </c:pt>
                <c:pt idx="3">
                  <c:v>1.0237118607618483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D40-45D9-9DD5-B4A3DB027E7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43109067"/>
        <c:axId val="72554947"/>
      </c:lineChart>
      <c:catAx>
        <c:axId val="43109067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t-BR" sz="1000" b="1" i="0" u="none" strike="noStrike" baseline="0">
                    <a:effectLst/>
                  </a:rPr>
                  <a:t>Pressão (bar)</a:t>
                </a:r>
                <a:endParaRPr lang="pt-BR"/>
              </a:p>
            </c:rich>
          </c:tx>
          <c:layout>
            <c:manualLayout>
              <c:xMode val="edge"/>
              <c:yMode val="edge"/>
              <c:x val="0.76896332005667067"/>
              <c:y val="0.72197020541875878"/>
            </c:manualLayout>
          </c:layout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Arial"/>
                <a:ea typeface="DejaVu Sans"/>
              </a:defRPr>
            </a:pPr>
            <a:endParaRPr lang="pt-BR"/>
          </a:p>
        </c:txPr>
        <c:crossAx val="72554947"/>
        <c:crosses val="autoZero"/>
        <c:auto val="1"/>
        <c:lblAlgn val="ctr"/>
        <c:lblOffset val="100"/>
        <c:noMultiLvlLbl val="0"/>
      </c:catAx>
      <c:valAx>
        <c:axId val="72554947"/>
        <c:scaling>
          <c:orientation val="minMax"/>
          <c:max val="2"/>
          <c:min val="1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0.00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Arial"/>
                <a:ea typeface="DejaVu Sans"/>
              </a:defRPr>
            </a:pPr>
            <a:endParaRPr lang="pt-BR"/>
          </a:p>
        </c:txPr>
        <c:crossAx val="43109067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Arial"/>
              <a:ea typeface="DejaVu Sans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Arial"/>
                <a:ea typeface="DejaVu Sans"/>
              </a:rPr>
              <a:t>Conversão de CO (%) </a:t>
            </a:r>
          </a:p>
        </c:rich>
      </c:tx>
      <c:layout>
        <c:manualLayout>
          <c:xMode val="edge"/>
          <c:yMode val="edge"/>
          <c:x val="0.34236048940614699"/>
          <c:y val="1.85526315789474E-2"/>
        </c:manualLayout>
      </c:layout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'Massa Cat  x Pressao 543K_583K '!$B$127</c:f>
              <c:strCache>
                <c:ptCount val="1"/>
                <c:pt idx="0">
                  <c:v>T=543 K (25 kg)</c:v>
                </c:pt>
              </c:strCache>
            </c:strRef>
          </c:tx>
          <c:spPr>
            <a:ln w="28440" cap="rnd">
              <a:solidFill>
                <a:srgbClr val="18A303"/>
              </a:solidFill>
              <a:round/>
            </a:ln>
          </c:spPr>
          <c:marker>
            <c:symbol val="circle"/>
            <c:size val="5"/>
            <c:spPr>
              <a:solidFill>
                <a:srgbClr val="18A303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'Massa Cat  x Pressao 543K_583K '!$C$126:$F$126</c:f>
              <c:numCache>
                <c:formatCode>General</c:formatCode>
                <c:ptCount val="4"/>
                <c:pt idx="0">
                  <c:v>1.0129999999999999</c:v>
                </c:pt>
                <c:pt idx="1">
                  <c:v>2.0259999999999998</c:v>
                </c:pt>
                <c:pt idx="2">
                  <c:v>3.0390000000000001</c:v>
                </c:pt>
                <c:pt idx="3">
                  <c:v>4.0529999999999999</c:v>
                </c:pt>
              </c:numCache>
            </c:numRef>
          </c:cat>
          <c:val>
            <c:numRef>
              <c:f>'Massa Cat  x Pressao 543K_583K '!$C$127:$F$127</c:f>
              <c:numCache>
                <c:formatCode>0.00%</c:formatCode>
                <c:ptCount val="4"/>
                <c:pt idx="0">
                  <c:v>0.96068065599999997</c:v>
                </c:pt>
                <c:pt idx="1">
                  <c:v>0.96324774699999993</c:v>
                </c:pt>
                <c:pt idx="2">
                  <c:v>0.96257869299999999</c:v>
                </c:pt>
                <c:pt idx="3">
                  <c:v>0.96026459199999992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20C5-4FDF-9260-826BD2637882}"/>
            </c:ext>
          </c:extLst>
        </c:ser>
        <c:ser>
          <c:idx val="1"/>
          <c:order val="1"/>
          <c:tx>
            <c:strRef>
              <c:f>'Massa Cat  x Pressao 543K_583K '!$B$128</c:f>
              <c:strCache>
                <c:ptCount val="1"/>
                <c:pt idx="0">
                  <c:v>T=543 K (35 kg)</c:v>
                </c:pt>
              </c:strCache>
            </c:strRef>
          </c:tx>
          <c:spPr>
            <a:ln w="28440" cap="rnd">
              <a:solidFill>
                <a:srgbClr val="0369A3"/>
              </a:solidFill>
              <a:round/>
            </a:ln>
          </c:spPr>
          <c:marker>
            <c:symbol val="circle"/>
            <c:size val="5"/>
            <c:spPr>
              <a:solidFill>
                <a:srgbClr val="0369A3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'Massa Cat  x Pressao 543K_583K '!$C$126:$F$126</c:f>
              <c:numCache>
                <c:formatCode>General</c:formatCode>
                <c:ptCount val="4"/>
                <c:pt idx="0">
                  <c:v>1.0129999999999999</c:v>
                </c:pt>
                <c:pt idx="1">
                  <c:v>2.0259999999999998</c:v>
                </c:pt>
                <c:pt idx="2">
                  <c:v>3.0390000000000001</c:v>
                </c:pt>
                <c:pt idx="3">
                  <c:v>4.0529999999999999</c:v>
                </c:pt>
              </c:numCache>
            </c:numRef>
          </c:cat>
          <c:val>
            <c:numRef>
              <c:f>'Massa Cat  x Pressao 543K_583K '!$C$128:$F$128</c:f>
              <c:numCache>
                <c:formatCode>0.00%</c:formatCode>
                <c:ptCount val="4"/>
                <c:pt idx="0">
                  <c:v>0.96426024100000007</c:v>
                </c:pt>
                <c:pt idx="1">
                  <c:v>0.96481193500000006</c:v>
                </c:pt>
                <c:pt idx="2">
                  <c:v>0.96699363699999996</c:v>
                </c:pt>
                <c:pt idx="3">
                  <c:v>0.97044198429999995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20C5-4FDF-9260-826BD2637882}"/>
            </c:ext>
          </c:extLst>
        </c:ser>
        <c:ser>
          <c:idx val="2"/>
          <c:order val="2"/>
          <c:tx>
            <c:strRef>
              <c:f>'Massa Cat  x Pressao 543K_583K '!$B$129</c:f>
              <c:strCache>
                <c:ptCount val="1"/>
                <c:pt idx="0">
                  <c:v>T=583 K (25 kg)</c:v>
                </c:pt>
              </c:strCache>
            </c:strRef>
          </c:tx>
          <c:spPr>
            <a:ln w="28440" cap="rnd">
              <a:solidFill>
                <a:srgbClr val="A33E03"/>
              </a:solidFill>
              <a:round/>
            </a:ln>
          </c:spPr>
          <c:marker>
            <c:symbol val="circle"/>
            <c:size val="5"/>
            <c:spPr>
              <a:solidFill>
                <a:srgbClr val="A33E03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'Massa Cat  x Pressao 543K_583K '!$C$126:$F$126</c:f>
              <c:numCache>
                <c:formatCode>General</c:formatCode>
                <c:ptCount val="4"/>
                <c:pt idx="0">
                  <c:v>1.0129999999999999</c:v>
                </c:pt>
                <c:pt idx="1">
                  <c:v>2.0259999999999998</c:v>
                </c:pt>
                <c:pt idx="2">
                  <c:v>3.0390000000000001</c:v>
                </c:pt>
                <c:pt idx="3">
                  <c:v>4.0529999999999999</c:v>
                </c:pt>
              </c:numCache>
            </c:numRef>
          </c:cat>
          <c:val>
            <c:numRef>
              <c:f>'Massa Cat  x Pressao 543K_583K '!$C$129:$F$129</c:f>
              <c:numCache>
                <c:formatCode>0.00%</c:formatCode>
                <c:ptCount val="4"/>
                <c:pt idx="0">
                  <c:v>0.96580303000000001</c:v>
                </c:pt>
                <c:pt idx="1">
                  <c:v>0.96886790200000006</c:v>
                </c:pt>
                <c:pt idx="2">
                  <c:v>0.97266257410000001</c:v>
                </c:pt>
                <c:pt idx="3">
                  <c:v>0.97699311700000002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20C5-4FDF-9260-826BD2637882}"/>
            </c:ext>
          </c:extLst>
        </c:ser>
        <c:ser>
          <c:idx val="3"/>
          <c:order val="3"/>
          <c:tx>
            <c:strRef>
              <c:f>'Massa Cat  x Pressao 543K_583K '!$B$130</c:f>
              <c:strCache>
                <c:ptCount val="1"/>
                <c:pt idx="0">
                  <c:v>T=583 K (35 kg)</c:v>
                </c:pt>
              </c:strCache>
            </c:strRef>
          </c:tx>
          <c:spPr>
            <a:ln w="28440" cap="rnd">
              <a:solidFill>
                <a:srgbClr val="8E03A3"/>
              </a:solidFill>
              <a:round/>
            </a:ln>
          </c:spPr>
          <c:marker>
            <c:symbol val="circle"/>
            <c:size val="5"/>
            <c:spPr>
              <a:solidFill>
                <a:srgbClr val="8E03A3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'Massa Cat  x Pressao 543K_583K '!$C$126:$F$126</c:f>
              <c:numCache>
                <c:formatCode>General</c:formatCode>
                <c:ptCount val="4"/>
                <c:pt idx="0">
                  <c:v>1.0129999999999999</c:v>
                </c:pt>
                <c:pt idx="1">
                  <c:v>2.0259999999999998</c:v>
                </c:pt>
                <c:pt idx="2">
                  <c:v>3.0390000000000001</c:v>
                </c:pt>
                <c:pt idx="3">
                  <c:v>4.0529999999999999</c:v>
                </c:pt>
              </c:numCache>
            </c:numRef>
          </c:cat>
          <c:val>
            <c:numRef>
              <c:f>'Massa Cat  x Pressao 543K_583K '!$C$130:$F$130</c:f>
              <c:numCache>
                <c:formatCode>0.00%</c:formatCode>
                <c:ptCount val="4"/>
                <c:pt idx="0">
                  <c:v>0.96788880399999999</c:v>
                </c:pt>
                <c:pt idx="1">
                  <c:v>0.97300605910000004</c:v>
                </c:pt>
                <c:pt idx="2">
                  <c:v>0.97843325740000009</c:v>
                </c:pt>
                <c:pt idx="3">
                  <c:v>0.98340402910000002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20C5-4FDF-9260-826BD26378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8753752"/>
        <c:axId val="91047525"/>
      </c:lineChart>
      <c:catAx>
        <c:axId val="3875375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t-BR" sz="1000" b="1" i="0" u="none" strike="noStrike" baseline="0">
                    <a:effectLst/>
                  </a:rPr>
                  <a:t>Pressão (bar)</a:t>
                </a:r>
                <a:endParaRPr lang="pt-BR"/>
              </a:p>
            </c:rich>
          </c:tx>
          <c:layout>
            <c:manualLayout>
              <c:xMode val="edge"/>
              <c:yMode val="edge"/>
              <c:x val="0.78870091767120221"/>
              <c:y val="0.71744135182221169"/>
            </c:manualLayout>
          </c:layout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chemeClr val="dk1">
                <a:lumMod val="15000"/>
                <a:lumOff val="85000"/>
              </a:schemeClr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Arial"/>
                <a:ea typeface="DejaVu Sans"/>
              </a:defRPr>
            </a:pPr>
            <a:endParaRPr lang="pt-BR"/>
          </a:p>
        </c:txPr>
        <c:crossAx val="91047525"/>
        <c:crosses val="autoZero"/>
        <c:auto val="1"/>
        <c:lblAlgn val="ctr"/>
        <c:lblOffset val="100"/>
        <c:noMultiLvlLbl val="0"/>
      </c:catAx>
      <c:valAx>
        <c:axId val="91047525"/>
        <c:scaling>
          <c:orientation val="minMax"/>
          <c:min val="0.95499999999999996"/>
        </c:scaling>
        <c:delete val="0"/>
        <c:axPos val="l"/>
        <c:majorGridlines>
          <c:spPr>
            <a:ln w="9360">
              <a:solidFill>
                <a:schemeClr val="dk1">
                  <a:lumMod val="15000"/>
                  <a:lumOff val="85000"/>
                </a:schemeClr>
              </a:solidFill>
              <a:round/>
            </a:ln>
          </c:spPr>
        </c:majorGridlines>
        <c:numFmt formatCode="0.00%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Arial"/>
                <a:ea typeface="DejaVu Sans"/>
              </a:defRPr>
            </a:pPr>
            <a:endParaRPr lang="pt-BR"/>
          </a:p>
        </c:txPr>
        <c:crossAx val="38753752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chemeClr val="tx1">
                  <a:lumMod val="65000"/>
                  <a:lumOff val="35000"/>
                </a:schemeClr>
              </a:solidFill>
              <a:uFillTx/>
              <a:latin typeface="Arial"/>
              <a:ea typeface="DejaVu Sans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chemeClr val="dk1">
          <a:lumMod val="15000"/>
          <a:lumOff val="85000"/>
        </a:schemeClr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200" b="1" u="none" strike="noStrike" spc="150">
                <a:solidFill>
                  <a:schemeClr val="tx1">
                    <a:lumMod val="50000"/>
                    <a:lumOff val="50000"/>
                  </a:schemeClr>
                </a:solidFill>
                <a:uFillTx/>
                <a:latin typeface="Arial"/>
                <a:ea typeface="DejaVu Sans"/>
              </a:rPr>
              <a:t>Gasolina (C₅–C₁₁, mol/s)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'H2_CO_583K _25kg'!$A$101</c:f>
              <c:strCache>
                <c:ptCount val="1"/>
                <c:pt idx="0">
                  <c:v>T=543 K (25 kg)</c:v>
                </c:pt>
              </c:strCache>
            </c:strRef>
          </c:tx>
          <c:spPr>
            <a:ln w="38160">
              <a:solidFill>
                <a:srgbClr val="18A303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381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'H2_CO_583K _25kg'!$B$100:$E$100</c:f>
              <c:numCache>
                <c:formatCode>General</c:formatCode>
                <c:ptCount val="4"/>
                <c:pt idx="0">
                  <c:v>1.0129999999999999</c:v>
                </c:pt>
                <c:pt idx="1">
                  <c:v>2.0259999999999998</c:v>
                </c:pt>
                <c:pt idx="2">
                  <c:v>3.0390000000000001</c:v>
                </c:pt>
                <c:pt idx="3">
                  <c:v>4.0529999999999999</c:v>
                </c:pt>
              </c:numCache>
            </c:numRef>
          </c:cat>
          <c:val>
            <c:numRef>
              <c:f>'H2_CO_583K _25kg'!$B$101:$E$101</c:f>
              <c:numCache>
                <c:formatCode>0.0000000000</c:formatCode>
                <c:ptCount val="4"/>
                <c:pt idx="0">
                  <c:v>0.12222040199999999</c:v>
                </c:pt>
                <c:pt idx="1">
                  <c:v>0.126435193</c:v>
                </c:pt>
                <c:pt idx="2">
                  <c:v>0.12812581200000001</c:v>
                </c:pt>
                <c:pt idx="3">
                  <c:v>0.12616232399999999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56-4832-B4AD-77579B24584B}"/>
            </c:ext>
          </c:extLst>
        </c:ser>
        <c:ser>
          <c:idx val="1"/>
          <c:order val="1"/>
          <c:tx>
            <c:strRef>
              <c:f>'H2_CO_583K _25kg'!$A$102</c:f>
              <c:strCache>
                <c:ptCount val="1"/>
                <c:pt idx="0">
                  <c:v>T=543 K (35 kg)</c:v>
                </c:pt>
              </c:strCache>
            </c:strRef>
          </c:tx>
          <c:spPr>
            <a:ln w="73080">
              <a:solidFill>
                <a:srgbClr val="0369A3"/>
              </a:solidFill>
              <a:round/>
            </a:ln>
          </c:spPr>
          <c:marker>
            <c:symbol val="none"/>
          </c:marker>
          <c:dPt>
            <c:idx val="1"/>
            <c:bubble3D val="0"/>
            <c:extLst>
              <c:ext xmlns:c16="http://schemas.microsoft.com/office/drawing/2014/chart" uri="{C3380CC4-5D6E-409C-BE32-E72D297353CC}">
                <c16:uniqueId val="{00000001-E856-4832-B4AD-77579B24584B}"/>
              </c:ext>
            </c:extLst>
          </c:dPt>
          <c:dPt>
            <c:idx val="2"/>
            <c:bubble3D val="0"/>
            <c:extLst>
              <c:ext xmlns:c16="http://schemas.microsoft.com/office/drawing/2014/chart" uri="{C3380CC4-5D6E-409C-BE32-E72D297353CC}">
                <c16:uniqueId val="{00000002-E856-4832-B4AD-77579B24584B}"/>
              </c:ext>
            </c:extLst>
          </c:dPt>
          <c:dPt>
            <c:idx val="3"/>
            <c:bubble3D val="0"/>
            <c:extLst>
              <c:ext xmlns:c16="http://schemas.microsoft.com/office/drawing/2014/chart" uri="{C3380CC4-5D6E-409C-BE32-E72D297353CC}">
                <c16:uniqueId val="{00000003-E856-4832-B4AD-77579B24584B}"/>
              </c:ext>
            </c:extLst>
          </c:dPt>
          <c:dLbls>
            <c:dLbl>
              <c:idx val="1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endParaRPr lang="pt-BR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E856-4832-B4AD-77579B24584B}"/>
                </c:ext>
              </c:extLst>
            </c:dLbl>
            <c:dLbl>
              <c:idx val="2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endParaRPr lang="pt-BR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E856-4832-B4AD-77579B24584B}"/>
                </c:ext>
              </c:extLst>
            </c:dLbl>
            <c:dLbl>
              <c:idx val="3"/>
              <c:spPr/>
              <c:txPr>
                <a:bodyPr wrap="square"/>
                <a:lstStyle/>
                <a:p>
                  <a:pPr>
                    <a:defRPr sz="1000" b="0" u="none" strike="noStrike">
                      <a:solidFill>
                        <a:srgbClr val="000000"/>
                      </a:solidFill>
                      <a:uFillTx/>
                      <a:latin typeface="Arial"/>
                    </a:defRPr>
                  </a:pPr>
                  <a:endParaRPr lang="pt-BR"/>
                </a:p>
              </c:txPr>
              <c:dLblPos val="r"/>
              <c:showLegendKey val="0"/>
              <c:showVal val="0"/>
              <c:showCatName val="0"/>
              <c:showSerName val="0"/>
              <c:showPercent val="0"/>
              <c:showBubbleSize val="1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E856-4832-B4AD-77579B24584B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7308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'H2_CO_583K _25kg'!$B$100:$E$100</c:f>
              <c:numCache>
                <c:formatCode>General</c:formatCode>
                <c:ptCount val="4"/>
                <c:pt idx="0">
                  <c:v>1.0129999999999999</c:v>
                </c:pt>
                <c:pt idx="1">
                  <c:v>2.0259999999999998</c:v>
                </c:pt>
                <c:pt idx="2">
                  <c:v>3.0390000000000001</c:v>
                </c:pt>
                <c:pt idx="3">
                  <c:v>4.0529999999999999</c:v>
                </c:pt>
              </c:numCache>
            </c:numRef>
          </c:cat>
          <c:val>
            <c:numRef>
              <c:f>'H2_CO_583K _25kg'!$B$102:$E$102</c:f>
              <c:numCache>
                <c:formatCode>0.0000000000</c:formatCode>
                <c:ptCount val="4"/>
                <c:pt idx="0">
                  <c:v>0.11743813399999999</c:v>
                </c:pt>
                <c:pt idx="1">
                  <c:v>0.10762303100000001</c:v>
                </c:pt>
                <c:pt idx="2">
                  <c:v>9.9134687900000018E-2</c:v>
                </c:pt>
                <c:pt idx="3">
                  <c:v>9.1735187800000006E-2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56-4832-B4AD-77579B24584B}"/>
            </c:ext>
          </c:extLst>
        </c:ser>
        <c:ser>
          <c:idx val="2"/>
          <c:order val="2"/>
          <c:tx>
            <c:strRef>
              <c:f>'H2_CO_583K _25kg'!$A$103</c:f>
              <c:strCache>
                <c:ptCount val="1"/>
                <c:pt idx="0">
                  <c:v>T=583 K (25 kg)</c:v>
                </c:pt>
              </c:strCache>
            </c:strRef>
          </c:tx>
          <c:spPr>
            <a:ln w="38160">
              <a:solidFill>
                <a:srgbClr val="A33E03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381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'H2_CO_583K _25kg'!$B$100:$E$100</c:f>
              <c:numCache>
                <c:formatCode>General</c:formatCode>
                <c:ptCount val="4"/>
                <c:pt idx="0">
                  <c:v>1.0129999999999999</c:v>
                </c:pt>
                <c:pt idx="1">
                  <c:v>2.0259999999999998</c:v>
                </c:pt>
                <c:pt idx="2">
                  <c:v>3.0390000000000001</c:v>
                </c:pt>
                <c:pt idx="3">
                  <c:v>4.0529999999999999</c:v>
                </c:pt>
              </c:numCache>
            </c:numRef>
          </c:cat>
          <c:val>
            <c:numRef>
              <c:f>'H2_CO_583K _25kg'!$B$103:$E$103</c:f>
              <c:numCache>
                <c:formatCode>0.0000000000</c:formatCode>
                <c:ptCount val="4"/>
                <c:pt idx="0">
                  <c:v>0.13231963099999999</c:v>
                </c:pt>
                <c:pt idx="1">
                  <c:v>0.136986093</c:v>
                </c:pt>
                <c:pt idx="2">
                  <c:v>0.13870779599999999</c:v>
                </c:pt>
                <c:pt idx="3">
                  <c:v>0.13632218100000001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56-4832-B4AD-77579B24584B}"/>
            </c:ext>
          </c:extLst>
        </c:ser>
        <c:ser>
          <c:idx val="3"/>
          <c:order val="3"/>
          <c:tx>
            <c:strRef>
              <c:f>'H2_CO_583K _25kg'!$A$104</c:f>
              <c:strCache>
                <c:ptCount val="1"/>
                <c:pt idx="0">
                  <c:v>T=583 K (35 kg)</c:v>
                </c:pt>
              </c:strCache>
            </c:strRef>
          </c:tx>
          <c:spPr>
            <a:ln w="38160">
              <a:solidFill>
                <a:srgbClr val="8E03A3"/>
              </a:solidFill>
              <a:round/>
            </a:ln>
          </c:spPr>
          <c:marker>
            <c:symbol val="none"/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38160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'H2_CO_583K _25kg'!$B$100:$E$100</c:f>
              <c:numCache>
                <c:formatCode>General</c:formatCode>
                <c:ptCount val="4"/>
                <c:pt idx="0">
                  <c:v>1.0129999999999999</c:v>
                </c:pt>
                <c:pt idx="1">
                  <c:v>2.0259999999999998</c:v>
                </c:pt>
                <c:pt idx="2">
                  <c:v>3.0390000000000001</c:v>
                </c:pt>
                <c:pt idx="3">
                  <c:v>4.0529999999999999</c:v>
                </c:pt>
              </c:numCache>
            </c:numRef>
          </c:cat>
          <c:val>
            <c:numRef>
              <c:f>'H2_CO_583K _25kg'!$B$104:$E$104</c:f>
              <c:numCache>
                <c:formatCode>0.0000000000</c:formatCode>
                <c:ptCount val="4"/>
                <c:pt idx="0">
                  <c:v>0.126927336</c:v>
                </c:pt>
                <c:pt idx="1">
                  <c:v>0.116525328</c:v>
                </c:pt>
                <c:pt idx="2">
                  <c:v>0.107496019</c:v>
                </c:pt>
                <c:pt idx="3">
                  <c:v>9.9602390600000007E-2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56-4832-B4AD-77579B24584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smooth val="0"/>
        <c:axId val="95843270"/>
        <c:axId val="26537250"/>
      </c:lineChart>
      <c:catAx>
        <c:axId val="95843270"/>
        <c:scaling>
          <c:orientation val="minMax"/>
        </c:scaling>
        <c:delete val="0"/>
        <c:axPos val="b"/>
        <c:majorGridlines>
          <c:spPr>
            <a:ln w="9360">
              <a:solidFill>
                <a:srgbClr val="D9D9D9">
                  <a:alpha val="32000"/>
                </a:srgbClr>
              </a:solidFill>
              <a:round/>
            </a:ln>
          </c:spPr>
        </c:majorGridlines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Pressão ( bar)</a:t>
                </a:r>
              </a:p>
            </c:rich>
          </c:tx>
          <c:layout>
            <c:manualLayout>
              <c:xMode val="edge"/>
              <c:yMode val="edge"/>
              <c:x val="0.77094967912240597"/>
              <c:y val="0.77293614484383899"/>
            </c:manualLayout>
          </c:layout>
          <c:overlay val="0"/>
        </c:title>
        <c:numFmt formatCode="General" sourceLinked="0"/>
        <c:majorTickMark val="none"/>
        <c:minorTickMark val="none"/>
        <c:tickLblPos val="nextTo"/>
        <c:spPr>
          <a:ln w="324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rial"/>
                <a:ea typeface="DejaVu Sans"/>
              </a:defRPr>
            </a:pPr>
            <a:endParaRPr lang="pt-BR"/>
          </a:p>
        </c:txPr>
        <c:crossAx val="26537250"/>
        <c:crosses val="autoZero"/>
        <c:auto val="1"/>
        <c:lblAlgn val="ctr"/>
        <c:lblOffset val="100"/>
        <c:noMultiLvlLbl val="0"/>
      </c:catAx>
      <c:valAx>
        <c:axId val="26537250"/>
        <c:scaling>
          <c:orientation val="minMax"/>
          <c:max val="0.14000000000000001"/>
          <c:min val="0.08"/>
        </c:scaling>
        <c:delete val="0"/>
        <c:axPos val="l"/>
        <c:majorGridlines>
          <c:spPr>
            <a:ln w="9360">
              <a:solidFill>
                <a:srgbClr val="D9D9D9">
                  <a:alpha val="32000"/>
                </a:srgbClr>
              </a:solidFill>
              <a:round/>
            </a:ln>
          </c:spPr>
        </c:majorGridlines>
        <c:numFmt formatCode="0.000" sourceLinked="0"/>
        <c:majorTickMark val="none"/>
        <c:minorTickMark val="none"/>
        <c:tickLblPos val="nextTo"/>
        <c:spPr>
          <a:ln w="3240">
            <a:solidFill>
              <a:srgbClr val="A33E03"/>
            </a:solidFill>
            <a:prstDash val="sysDash"/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rial"/>
                <a:ea typeface="DejaVu Sans"/>
              </a:defRPr>
            </a:pPr>
            <a:endParaRPr lang="pt-BR"/>
          </a:p>
        </c:txPr>
        <c:crossAx val="95843270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Arial"/>
              <a:ea typeface="DejaVu Sans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Arial"/>
                <a:ea typeface="DejaVu Sans"/>
              </a:rPr>
              <a:t>Eficiência de carbono para gasolina (%)</a:t>
            </a:r>
          </a:p>
        </c:rich>
      </c:tx>
      <c:layout>
        <c:manualLayout>
          <c:xMode val="edge"/>
          <c:yMode val="edge"/>
          <c:x val="0.11200059671705004"/>
          <c:y val="2.8139045288722485E-2"/>
        </c:manualLayout>
      </c:layout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'H2_CO_583K _25kg'!$K$101</c:f>
              <c:strCache>
                <c:ptCount val="1"/>
                <c:pt idx="0">
                  <c:v>T=543 K (25 kg)</c:v>
                </c:pt>
              </c:strCache>
            </c:strRef>
          </c:tx>
          <c:spPr>
            <a:ln w="28440" cap="rnd">
              <a:solidFill>
                <a:srgbClr val="18A303"/>
              </a:solidFill>
              <a:round/>
            </a:ln>
          </c:spPr>
          <c:marker>
            <c:symbol val="circle"/>
            <c:size val="5"/>
            <c:spPr>
              <a:solidFill>
                <a:srgbClr val="18A303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'H2_CO_583K _25kg'!$L$100:$O$100</c:f>
              <c:numCache>
                <c:formatCode>General</c:formatCode>
                <c:ptCount val="4"/>
                <c:pt idx="0">
                  <c:v>1.0129999999999999</c:v>
                </c:pt>
                <c:pt idx="1">
                  <c:v>2.0259999999999998</c:v>
                </c:pt>
                <c:pt idx="2">
                  <c:v>3.0390000000000001</c:v>
                </c:pt>
                <c:pt idx="3">
                  <c:v>4.0529999999999999</c:v>
                </c:pt>
              </c:numCache>
            </c:numRef>
          </c:cat>
          <c:val>
            <c:numRef>
              <c:f>'H2_CO_583K _25kg'!$L$101:$O$101</c:f>
              <c:numCache>
                <c:formatCode>0.00%</c:formatCode>
                <c:ptCount val="4"/>
                <c:pt idx="0">
                  <c:v>0.21961055424000001</c:v>
                </c:pt>
                <c:pt idx="1">
                  <c:v>0.24644905974000003</c:v>
                </c:pt>
                <c:pt idx="2">
                  <c:v>0.26940835823999998</c:v>
                </c:pt>
                <c:pt idx="3">
                  <c:v>0.28481311709999996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5AE-4E93-AE4C-61B8C397016C}"/>
            </c:ext>
          </c:extLst>
        </c:ser>
        <c:ser>
          <c:idx val="1"/>
          <c:order val="1"/>
          <c:tx>
            <c:strRef>
              <c:f>'H2_CO_583K _25kg'!$K$102</c:f>
              <c:strCache>
                <c:ptCount val="1"/>
                <c:pt idx="0">
                  <c:v>T=543 K (35 kg)</c:v>
                </c:pt>
              </c:strCache>
            </c:strRef>
          </c:tx>
          <c:spPr>
            <a:ln w="28440" cap="rnd">
              <a:solidFill>
                <a:srgbClr val="0369A3"/>
              </a:solidFill>
              <a:round/>
            </a:ln>
          </c:spPr>
          <c:marker>
            <c:symbol val="circle"/>
            <c:size val="5"/>
            <c:spPr>
              <a:solidFill>
                <a:srgbClr val="0369A3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'H2_CO_583K _25kg'!$L$100:$O$100</c:f>
              <c:numCache>
                <c:formatCode>General</c:formatCode>
                <c:ptCount val="4"/>
                <c:pt idx="0">
                  <c:v>1.0129999999999999</c:v>
                </c:pt>
                <c:pt idx="1">
                  <c:v>2.0259999999999998</c:v>
                </c:pt>
                <c:pt idx="2">
                  <c:v>3.0390000000000001</c:v>
                </c:pt>
                <c:pt idx="3">
                  <c:v>4.0529999999999999</c:v>
                </c:pt>
              </c:numCache>
            </c:numRef>
          </c:cat>
          <c:val>
            <c:numRef>
              <c:f>'H2_CO_583K _25kg'!$L$102:$O$102</c:f>
              <c:numCache>
                <c:formatCode>0.00%</c:formatCode>
                <c:ptCount val="4"/>
                <c:pt idx="0">
                  <c:v>0.28331639871999997</c:v>
                </c:pt>
                <c:pt idx="1">
                  <c:v>0.27623816493999998</c:v>
                </c:pt>
                <c:pt idx="2">
                  <c:v>0.26974477256399998</c:v>
                </c:pt>
                <c:pt idx="3">
                  <c:v>0.26376626188400004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C5AE-4E93-AE4C-61B8C397016C}"/>
            </c:ext>
          </c:extLst>
        </c:ser>
        <c:ser>
          <c:idx val="2"/>
          <c:order val="2"/>
          <c:tx>
            <c:strRef>
              <c:f>'H2_CO_583K _25kg'!$K$103</c:f>
              <c:strCache>
                <c:ptCount val="1"/>
                <c:pt idx="0">
                  <c:v>T=583 K (25 kg)</c:v>
                </c:pt>
              </c:strCache>
            </c:strRef>
          </c:tx>
          <c:spPr>
            <a:ln w="28440" cap="rnd">
              <a:solidFill>
                <a:srgbClr val="A33E03"/>
              </a:solidFill>
              <a:round/>
            </a:ln>
          </c:spPr>
          <c:marker>
            <c:symbol val="circle"/>
            <c:size val="5"/>
            <c:spPr>
              <a:solidFill>
                <a:srgbClr val="A33E03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'H2_CO_583K _25kg'!$L$100:$O$100</c:f>
              <c:numCache>
                <c:formatCode>General</c:formatCode>
                <c:ptCount val="4"/>
                <c:pt idx="0">
                  <c:v>1.0129999999999999</c:v>
                </c:pt>
                <c:pt idx="1">
                  <c:v>2.0259999999999998</c:v>
                </c:pt>
                <c:pt idx="2">
                  <c:v>3.0390000000000001</c:v>
                </c:pt>
                <c:pt idx="3">
                  <c:v>4.0529999999999999</c:v>
                </c:pt>
              </c:numCache>
            </c:numRef>
          </c:cat>
          <c:val>
            <c:numRef>
              <c:f>'H2_CO_583K _25kg'!$L$103:$O$103</c:f>
              <c:numCache>
                <c:formatCode>0.00%</c:formatCode>
                <c:ptCount val="4"/>
                <c:pt idx="0">
                  <c:v>0.23659087031999995</c:v>
                </c:pt>
                <c:pt idx="1">
                  <c:v>0.26573413464000001</c:v>
                </c:pt>
                <c:pt idx="2">
                  <c:v>0.29030002904000002</c:v>
                </c:pt>
                <c:pt idx="3">
                  <c:v>0.30635781360000003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C5AE-4E93-AE4C-61B8C397016C}"/>
            </c:ext>
          </c:extLst>
        </c:ser>
        <c:ser>
          <c:idx val="3"/>
          <c:order val="3"/>
          <c:tx>
            <c:strRef>
              <c:f>'H2_CO_583K _25kg'!$K$104</c:f>
              <c:strCache>
                <c:ptCount val="1"/>
                <c:pt idx="0">
                  <c:v>T=583 K (35 kg)</c:v>
                </c:pt>
              </c:strCache>
            </c:strRef>
          </c:tx>
          <c:spPr>
            <a:ln w="28440" cap="rnd">
              <a:solidFill>
                <a:srgbClr val="8E03A3"/>
              </a:solidFill>
              <a:round/>
            </a:ln>
          </c:spPr>
          <c:marker>
            <c:symbol val="circle"/>
            <c:size val="5"/>
            <c:spPr>
              <a:solidFill>
                <a:srgbClr val="8E03A3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'H2_CO_583K _25kg'!$L$100:$O$100</c:f>
              <c:numCache>
                <c:formatCode>General</c:formatCode>
                <c:ptCount val="4"/>
                <c:pt idx="0">
                  <c:v>1.0129999999999999</c:v>
                </c:pt>
                <c:pt idx="1">
                  <c:v>2.0259999999999998</c:v>
                </c:pt>
                <c:pt idx="2">
                  <c:v>3.0390000000000001</c:v>
                </c:pt>
                <c:pt idx="3">
                  <c:v>4.0529999999999999</c:v>
                </c:pt>
              </c:numCache>
            </c:numRef>
          </c:cat>
          <c:val>
            <c:numRef>
              <c:f>'H2_CO_583K _25kg'!$L$104:$O$104</c:f>
              <c:numCache>
                <c:formatCode>0.00%</c:formatCode>
                <c:ptCount val="4"/>
                <c:pt idx="0">
                  <c:v>0.30485301088</c:v>
                </c:pt>
                <c:pt idx="1">
                  <c:v>0.29778884359999996</c:v>
                </c:pt>
                <c:pt idx="2">
                  <c:v>0.29124800567999998</c:v>
                </c:pt>
                <c:pt idx="3">
                  <c:v>0.28518515446800002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C5AE-4E93-AE4C-61B8C397016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95542048"/>
        <c:axId val="71191660"/>
      </c:lineChart>
      <c:catAx>
        <c:axId val="955420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t-BR" sz="1000" b="1" i="0" baseline="0">
                    <a:effectLst/>
                  </a:rPr>
                  <a:t>Pressão ( bar)</a:t>
                </a:r>
                <a:endParaRPr lang="pt-BR" sz="1000" baseline="0">
                  <a:effectLst/>
                </a:endParaRPr>
              </a:p>
            </c:rich>
          </c:tx>
          <c:layout>
            <c:manualLayout>
              <c:xMode val="edge"/>
              <c:yMode val="edge"/>
              <c:x val="0.77372765072628646"/>
              <c:y val="0.7097032807837278"/>
            </c:manualLayout>
          </c:layout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rial"/>
                <a:ea typeface="DejaVu Sans"/>
              </a:defRPr>
            </a:pPr>
            <a:endParaRPr lang="pt-BR"/>
          </a:p>
        </c:txPr>
        <c:crossAx val="71191660"/>
        <c:crosses val="autoZero"/>
        <c:auto val="1"/>
        <c:lblAlgn val="ctr"/>
        <c:lblOffset val="100"/>
        <c:noMultiLvlLbl val="0"/>
      </c:catAx>
      <c:valAx>
        <c:axId val="71191660"/>
        <c:scaling>
          <c:orientation val="minMax"/>
          <c:min val="0.17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%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rial"/>
                <a:ea typeface="DejaVu Sans"/>
              </a:defRPr>
            </a:pPr>
            <a:endParaRPr lang="pt-BR"/>
          </a:p>
        </c:txPr>
        <c:crossAx val="9554204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Arial"/>
              <a:ea typeface="DejaVu Sans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Arial"/>
                <a:ea typeface="DejaVu Sans"/>
              </a:rPr>
              <a:t>C₁₆/Gasolina (sobrecrescimento) 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'H2_CO_583K _25kg'!$B$132</c:f>
              <c:strCache>
                <c:ptCount val="1"/>
                <c:pt idx="0">
                  <c:v>T=543 K (25 kg)</c:v>
                </c:pt>
              </c:strCache>
            </c:strRef>
          </c:tx>
          <c:spPr>
            <a:ln w="28440" cap="rnd">
              <a:solidFill>
                <a:srgbClr val="18A303"/>
              </a:solidFill>
              <a:round/>
            </a:ln>
          </c:spPr>
          <c:marker>
            <c:symbol val="circle"/>
            <c:size val="5"/>
            <c:spPr>
              <a:solidFill>
                <a:srgbClr val="18A303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'H2_CO_583K _25kg'!$C$131:$F$131</c:f>
              <c:numCache>
                <c:formatCode>General</c:formatCode>
                <c:ptCount val="4"/>
                <c:pt idx="0">
                  <c:v>1.0129999999999999</c:v>
                </c:pt>
                <c:pt idx="1">
                  <c:v>2.0259999999999998</c:v>
                </c:pt>
                <c:pt idx="2">
                  <c:v>3.0390000000000001</c:v>
                </c:pt>
                <c:pt idx="3">
                  <c:v>4.0529999999999999</c:v>
                </c:pt>
              </c:numCache>
            </c:numRef>
          </c:cat>
          <c:val>
            <c:numRef>
              <c:f>'H2_CO_583K _25kg'!$C$132:$F$132</c:f>
              <c:numCache>
                <c:formatCode>0.0000000000</c:formatCode>
                <c:ptCount val="4"/>
                <c:pt idx="0">
                  <c:v>1.0066437189430943</c:v>
                </c:pt>
                <c:pt idx="1">
                  <c:v>1.0354912022003242</c:v>
                </c:pt>
                <c:pt idx="2">
                  <c:v>1.07419619709415</c:v>
                </c:pt>
                <c:pt idx="3">
                  <c:v>1.1288692652808141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D72D-4E36-AB16-21D931DD2D4E}"/>
            </c:ext>
          </c:extLst>
        </c:ser>
        <c:ser>
          <c:idx val="1"/>
          <c:order val="1"/>
          <c:tx>
            <c:strRef>
              <c:f>'H2_CO_583K _25kg'!$B$133</c:f>
              <c:strCache>
                <c:ptCount val="1"/>
                <c:pt idx="0">
                  <c:v>T=543 K (35 kg)</c:v>
                </c:pt>
              </c:strCache>
            </c:strRef>
          </c:tx>
          <c:spPr>
            <a:ln w="28440" cap="rnd">
              <a:solidFill>
                <a:srgbClr val="0369A3"/>
              </a:solidFill>
              <a:round/>
            </a:ln>
          </c:spPr>
          <c:marker>
            <c:symbol val="circle"/>
            <c:size val="5"/>
            <c:spPr>
              <a:solidFill>
                <a:srgbClr val="0369A3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'H2_CO_583K _25kg'!$C$131:$F$131</c:f>
              <c:numCache>
                <c:formatCode>General</c:formatCode>
                <c:ptCount val="4"/>
                <c:pt idx="0">
                  <c:v>1.0129999999999999</c:v>
                </c:pt>
                <c:pt idx="1">
                  <c:v>2.0259999999999998</c:v>
                </c:pt>
                <c:pt idx="2">
                  <c:v>3.0390000000000001</c:v>
                </c:pt>
                <c:pt idx="3">
                  <c:v>4.0529999999999999</c:v>
                </c:pt>
              </c:numCache>
            </c:numRef>
          </c:cat>
          <c:val>
            <c:numRef>
              <c:f>'H2_CO_583K _25kg'!$C$133:$F$133</c:f>
              <c:numCache>
                <c:formatCode>0.0000000000</c:formatCode>
                <c:ptCount val="4"/>
                <c:pt idx="0">
                  <c:v>1.190072723737249</c:v>
                </c:pt>
                <c:pt idx="1">
                  <c:v>1.2348095827184054</c:v>
                </c:pt>
                <c:pt idx="2">
                  <c:v>1.2777547666037488</c:v>
                </c:pt>
                <c:pt idx="3">
                  <c:v>1.3190875050456918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72D-4E36-AB16-21D931DD2D4E}"/>
            </c:ext>
          </c:extLst>
        </c:ser>
        <c:ser>
          <c:idx val="2"/>
          <c:order val="2"/>
          <c:tx>
            <c:strRef>
              <c:f>'H2_CO_583K _25kg'!$B$134</c:f>
              <c:strCache>
                <c:ptCount val="1"/>
                <c:pt idx="0">
                  <c:v>T=583 K (25 kg)</c:v>
                </c:pt>
              </c:strCache>
            </c:strRef>
          </c:tx>
          <c:spPr>
            <a:ln w="28440" cap="rnd">
              <a:solidFill>
                <a:srgbClr val="A33E03"/>
              </a:solidFill>
              <a:round/>
            </a:ln>
          </c:spPr>
          <c:marker>
            <c:symbol val="circle"/>
            <c:size val="5"/>
            <c:spPr>
              <a:solidFill>
                <a:srgbClr val="A33E03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'H2_CO_583K _25kg'!$C$131:$F$131</c:f>
              <c:numCache>
                <c:formatCode>General</c:formatCode>
                <c:ptCount val="4"/>
                <c:pt idx="0">
                  <c:v>1.0129999999999999</c:v>
                </c:pt>
                <c:pt idx="1">
                  <c:v>2.0259999999999998</c:v>
                </c:pt>
                <c:pt idx="2">
                  <c:v>3.0390000000000001</c:v>
                </c:pt>
                <c:pt idx="3">
                  <c:v>4.0529999999999999</c:v>
                </c:pt>
              </c:numCache>
            </c:numRef>
          </c:cat>
          <c:val>
            <c:numRef>
              <c:f>'H2_CO_583K _25kg'!$C$134:$F$134</c:f>
              <c:numCache>
                <c:formatCode>0.0000000000</c:formatCode>
                <c:ptCount val="4"/>
                <c:pt idx="0">
                  <c:v>0.90668504055909893</c:v>
                </c:pt>
                <c:pt idx="1">
                  <c:v>0.93198533664289551</c:v>
                </c:pt>
                <c:pt idx="2">
                  <c:v>0.96616415129254896</c:v>
                </c:pt>
                <c:pt idx="3">
                  <c:v>1.0140486235325121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D72D-4E36-AB16-21D931DD2D4E}"/>
            </c:ext>
          </c:extLst>
        </c:ser>
        <c:ser>
          <c:idx val="3"/>
          <c:order val="3"/>
          <c:tx>
            <c:strRef>
              <c:f>'H2_CO_583K _25kg'!$B$135</c:f>
              <c:strCache>
                <c:ptCount val="1"/>
                <c:pt idx="0">
                  <c:v>T=583 K (35 kg)</c:v>
                </c:pt>
              </c:strCache>
            </c:strRef>
          </c:tx>
          <c:spPr>
            <a:ln w="28440" cap="rnd">
              <a:solidFill>
                <a:srgbClr val="8E03A3"/>
              </a:solidFill>
              <a:round/>
            </a:ln>
          </c:spPr>
          <c:marker>
            <c:symbol val="circle"/>
            <c:size val="5"/>
            <c:spPr>
              <a:solidFill>
                <a:srgbClr val="8E03A3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'H2_CO_583K _25kg'!$C$131:$F$131</c:f>
              <c:numCache>
                <c:formatCode>General</c:formatCode>
                <c:ptCount val="4"/>
                <c:pt idx="0">
                  <c:v>1.0129999999999999</c:v>
                </c:pt>
                <c:pt idx="1">
                  <c:v>2.0259999999999998</c:v>
                </c:pt>
                <c:pt idx="2">
                  <c:v>3.0390000000000001</c:v>
                </c:pt>
                <c:pt idx="3">
                  <c:v>4.0529999999999999</c:v>
                </c:pt>
              </c:numCache>
            </c:numRef>
          </c:cat>
          <c:val>
            <c:numRef>
              <c:f>'H2_CO_583K _25kg'!$C$135:$F$135</c:f>
              <c:numCache>
                <c:formatCode>0.0000000000</c:formatCode>
                <c:ptCount val="4"/>
                <c:pt idx="0">
                  <c:v>1.0665719006345489</c:v>
                </c:pt>
                <c:pt idx="1">
                  <c:v>1.1054314303238864</c:v>
                </c:pt>
                <c:pt idx="2">
                  <c:v>1.1428132980440886</c:v>
                </c:pt>
                <c:pt idx="3">
                  <c:v>1.1788552392436251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D72D-4E36-AB16-21D931DD2D4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35530748"/>
        <c:axId val="75765676"/>
      </c:lineChart>
      <c:catAx>
        <c:axId val="3553074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Pressão (bar)</a:t>
                </a:r>
              </a:p>
            </c:rich>
          </c:tx>
          <c:layout>
            <c:manualLayout>
              <c:xMode val="edge"/>
              <c:yMode val="edge"/>
              <c:x val="0.7901389007675732"/>
              <c:y val="0.71803927015649649"/>
            </c:manualLayout>
          </c:layout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rial"/>
                <a:ea typeface="DejaVu Sans"/>
              </a:defRPr>
            </a:pPr>
            <a:endParaRPr lang="pt-BR"/>
          </a:p>
        </c:txPr>
        <c:crossAx val="75765676"/>
        <c:crosses val="autoZero"/>
        <c:auto val="1"/>
        <c:lblAlgn val="ctr"/>
        <c:lblOffset val="100"/>
        <c:noMultiLvlLbl val="0"/>
      </c:catAx>
      <c:valAx>
        <c:axId val="75765676"/>
        <c:scaling>
          <c:orientation val="minMax"/>
          <c:min val="0.8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0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rial"/>
                <a:ea typeface="DejaVu Sans"/>
              </a:defRPr>
            </a:pPr>
            <a:endParaRPr lang="pt-BR"/>
          </a:p>
        </c:txPr>
        <c:crossAx val="35530748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Arial"/>
              <a:ea typeface="DejaVu Sans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300" b="0" u="none" strike="noStrike">
                <a:uFillTx/>
                <a:latin typeface="Arial"/>
              </a:defRPr>
            </a:pPr>
            <a:r>
              <a:rPr lang="pt-BR" sz="1400" b="0" u="none" strike="noStrike">
                <a:solidFill>
                  <a:schemeClr val="tx1">
                    <a:lumMod val="65000"/>
                    <a:lumOff val="35000"/>
                  </a:schemeClr>
                </a:solidFill>
                <a:uFillTx/>
                <a:latin typeface="Arial"/>
                <a:ea typeface="DejaVu Sans"/>
              </a:rPr>
              <a:t>Conversão de CO (%)</a:t>
            </a:r>
          </a:p>
        </c:rich>
      </c:tx>
      <c:layout>
        <c:manualLayout>
          <c:xMode val="edge"/>
          <c:yMode val="edge"/>
          <c:x val="0.34236048940614699"/>
          <c:y val="1.8548171870830001E-2"/>
        </c:manualLayout>
      </c:layout>
      <c:overlay val="0"/>
      <c:spPr>
        <a:noFill/>
        <a:ln w="0">
          <a:noFill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'H2_CO_583K _25kg'!$K$132</c:f>
              <c:strCache>
                <c:ptCount val="1"/>
                <c:pt idx="0">
                  <c:v>T=543 K (25 kg)</c:v>
                </c:pt>
              </c:strCache>
            </c:strRef>
          </c:tx>
          <c:spPr>
            <a:ln w="28440" cap="rnd">
              <a:solidFill>
                <a:srgbClr val="18A303"/>
              </a:solidFill>
              <a:round/>
            </a:ln>
          </c:spPr>
          <c:marker>
            <c:symbol val="circle"/>
            <c:size val="5"/>
            <c:spPr>
              <a:solidFill>
                <a:srgbClr val="18A303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'H2_CO_583K _25kg'!$L$131:$O$131</c:f>
              <c:numCache>
                <c:formatCode>General</c:formatCode>
                <c:ptCount val="4"/>
                <c:pt idx="0">
                  <c:v>1.0129999999999999</c:v>
                </c:pt>
                <c:pt idx="1">
                  <c:v>2.0259999999999998</c:v>
                </c:pt>
                <c:pt idx="2">
                  <c:v>3.0390000000000001</c:v>
                </c:pt>
                <c:pt idx="3">
                  <c:v>4.0529999999999999</c:v>
                </c:pt>
              </c:numCache>
            </c:numRef>
          </c:cat>
          <c:val>
            <c:numRef>
              <c:f>'H2_CO_583K _25kg'!$L$132:$O$132</c:f>
              <c:numCache>
                <c:formatCode>0.00%</c:formatCode>
                <c:ptCount val="4"/>
                <c:pt idx="0">
                  <c:v>0.70902551200000008</c:v>
                </c:pt>
                <c:pt idx="1">
                  <c:v>0.80572312499999998</c:v>
                </c:pt>
                <c:pt idx="2">
                  <c:v>0.89629856159999999</c:v>
                </c:pt>
                <c:pt idx="3">
                  <c:v>0.97266257410000001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803-4ACA-BE66-6AF08423BC2C}"/>
            </c:ext>
          </c:extLst>
        </c:ser>
        <c:ser>
          <c:idx val="1"/>
          <c:order val="1"/>
          <c:tx>
            <c:strRef>
              <c:f>'H2_CO_583K _25kg'!$K$133</c:f>
              <c:strCache>
                <c:ptCount val="1"/>
                <c:pt idx="0">
                  <c:v>T=543 K (35 kg)</c:v>
                </c:pt>
              </c:strCache>
            </c:strRef>
          </c:tx>
          <c:spPr>
            <a:ln w="28440" cap="rnd">
              <a:solidFill>
                <a:srgbClr val="0369A3"/>
              </a:solidFill>
              <a:round/>
            </a:ln>
          </c:spPr>
          <c:marker>
            <c:symbol val="circle"/>
            <c:size val="5"/>
            <c:spPr>
              <a:solidFill>
                <a:srgbClr val="0369A3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'H2_CO_583K _25kg'!$L$131:$O$131</c:f>
              <c:numCache>
                <c:formatCode>General</c:formatCode>
                <c:ptCount val="4"/>
                <c:pt idx="0">
                  <c:v>1.0129999999999999</c:v>
                </c:pt>
                <c:pt idx="1">
                  <c:v>2.0259999999999998</c:v>
                </c:pt>
                <c:pt idx="2">
                  <c:v>3.0390000000000001</c:v>
                </c:pt>
                <c:pt idx="3">
                  <c:v>4.0529999999999999</c:v>
                </c:pt>
              </c:numCache>
            </c:numRef>
          </c:cat>
          <c:val>
            <c:numRef>
              <c:f>'H2_CO_583K _25kg'!$L$133:$O$133</c:f>
              <c:numCache>
                <c:formatCode>0.00%</c:formatCode>
                <c:ptCount val="4"/>
                <c:pt idx="0">
                  <c:v>0.99999999360559255</c:v>
                </c:pt>
                <c:pt idx="1">
                  <c:v>0.99999999311208376</c:v>
                </c:pt>
                <c:pt idx="2">
                  <c:v>0.99999999391029626</c:v>
                </c:pt>
                <c:pt idx="3">
                  <c:v>0.9999999948119751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803-4ACA-BE66-6AF08423BC2C}"/>
            </c:ext>
          </c:extLst>
        </c:ser>
        <c:ser>
          <c:idx val="2"/>
          <c:order val="2"/>
          <c:tx>
            <c:strRef>
              <c:f>'H2_CO_583K _25kg'!$K$134</c:f>
              <c:strCache>
                <c:ptCount val="1"/>
                <c:pt idx="0">
                  <c:v>T=583 K (25 kg)</c:v>
                </c:pt>
              </c:strCache>
            </c:strRef>
          </c:tx>
          <c:spPr>
            <a:ln w="28440" cap="rnd">
              <a:solidFill>
                <a:srgbClr val="A33E03"/>
              </a:solidFill>
              <a:round/>
            </a:ln>
          </c:spPr>
          <c:marker>
            <c:symbol val="circle"/>
            <c:size val="5"/>
            <c:spPr>
              <a:solidFill>
                <a:srgbClr val="A33E03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'H2_CO_583K _25kg'!$L$131:$O$131</c:f>
              <c:numCache>
                <c:formatCode>General</c:formatCode>
                <c:ptCount val="4"/>
                <c:pt idx="0">
                  <c:v>1.0129999999999999</c:v>
                </c:pt>
                <c:pt idx="1">
                  <c:v>2.0259999999999998</c:v>
                </c:pt>
                <c:pt idx="2">
                  <c:v>3.0390000000000001</c:v>
                </c:pt>
                <c:pt idx="3">
                  <c:v>4.0529999999999999</c:v>
                </c:pt>
              </c:numCache>
            </c:numRef>
          </c:cat>
          <c:val>
            <c:numRef>
              <c:f>'H2_CO_583K _25kg'!$L$134:$O$134</c:f>
              <c:numCache>
                <c:formatCode>0.00%</c:formatCode>
                <c:ptCount val="4"/>
                <c:pt idx="0">
                  <c:v>0.72633196000000011</c:v>
                </c:pt>
                <c:pt idx="1">
                  <c:v>0.82173593480000007</c:v>
                </c:pt>
                <c:pt idx="2">
                  <c:v>0.90805440920000002</c:v>
                </c:pt>
                <c:pt idx="3">
                  <c:v>0.97699311700000002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803-4ACA-BE66-6AF08423BC2C}"/>
            </c:ext>
          </c:extLst>
        </c:ser>
        <c:ser>
          <c:idx val="3"/>
          <c:order val="3"/>
          <c:tx>
            <c:strRef>
              <c:f>'H2_CO_583K _25kg'!$K$135</c:f>
              <c:strCache>
                <c:ptCount val="1"/>
                <c:pt idx="0">
                  <c:v>T=583 K (35 kg)</c:v>
                </c:pt>
              </c:strCache>
            </c:strRef>
          </c:tx>
          <c:spPr>
            <a:ln w="28440" cap="rnd">
              <a:solidFill>
                <a:srgbClr val="8E03A3"/>
              </a:solidFill>
              <a:round/>
            </a:ln>
          </c:spPr>
          <c:marker>
            <c:symbol val="circle"/>
            <c:size val="5"/>
            <c:spPr>
              <a:solidFill>
                <a:srgbClr val="8E03A3"/>
              </a:solidFill>
            </c:spPr>
          </c:marker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u="none" strike="noStrike">
                    <a:solidFill>
                      <a:srgbClr val="000000"/>
                    </a:solidFill>
                    <a:uFillTx/>
                    <a:latin typeface="Arial"/>
                    <a:ea typeface="DejaVu Sans"/>
                  </a:defRPr>
                </a:pPr>
                <a:endParaRPr lang="pt-BR"/>
              </a:p>
            </c:txPr>
            <c:dLblPos val="r"/>
            <c:showLegendKey val="0"/>
            <c:showVal val="0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28440" cap="rnd">
                      <a:solidFill>
                        <a:srgbClr val="000000"/>
                      </a:solidFill>
                    </a:ln>
                  </c:spPr>
                </c15:leaderLines>
              </c:ext>
            </c:extLst>
          </c:dLbls>
          <c:cat>
            <c:numRef>
              <c:f>'H2_CO_583K _25kg'!$L$131:$O$131</c:f>
              <c:numCache>
                <c:formatCode>General</c:formatCode>
                <c:ptCount val="4"/>
                <c:pt idx="0">
                  <c:v>1.0129999999999999</c:v>
                </c:pt>
                <c:pt idx="1">
                  <c:v>2.0259999999999998</c:v>
                </c:pt>
                <c:pt idx="2">
                  <c:v>3.0390000000000001</c:v>
                </c:pt>
                <c:pt idx="3">
                  <c:v>4.0529999999999999</c:v>
                </c:pt>
              </c:numCache>
            </c:numRef>
          </c:cat>
          <c:val>
            <c:numRef>
              <c:f>'H2_CO_583K _25kg'!$L$135:$O$135</c:f>
              <c:numCache>
                <c:formatCode>0.00%</c:formatCode>
                <c:ptCount val="4"/>
                <c:pt idx="0">
                  <c:v>0.99999998071587304</c:v>
                </c:pt>
                <c:pt idx="1">
                  <c:v>0.99999997965577836</c:v>
                </c:pt>
                <c:pt idx="2">
                  <c:v>0.99999998228264853</c:v>
                </c:pt>
                <c:pt idx="3">
                  <c:v>0.99999998510475618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F803-4ACA-BE66-6AF08423BC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hiLowLines>
          <c:spPr>
            <a:ln w="0">
              <a:noFill/>
            </a:ln>
          </c:spPr>
        </c:hiLowLines>
        <c:marker val="1"/>
        <c:smooth val="0"/>
        <c:axId val="49787986"/>
        <c:axId val="24386793"/>
      </c:lineChart>
      <c:catAx>
        <c:axId val="4978798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pt-BR"/>
                  <a:t>Pressão (bar)</a:t>
                </a:r>
              </a:p>
            </c:rich>
          </c:tx>
          <c:layout>
            <c:manualLayout>
              <c:xMode val="edge"/>
              <c:yMode val="edge"/>
              <c:x val="0.76202539066045949"/>
              <c:y val="0.76000729772681297"/>
            </c:manualLayout>
          </c:layout>
          <c:overlay val="0"/>
        </c:title>
        <c:numFmt formatCode="General" sourceLinked="0"/>
        <c:majorTickMark val="none"/>
        <c:minorTickMark val="none"/>
        <c:tickLblPos val="nextTo"/>
        <c:spPr>
          <a:ln w="9360">
            <a:solidFill>
              <a:srgbClr val="D9D9D9"/>
            </a:solidFill>
            <a:round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rial"/>
                <a:ea typeface="DejaVu Sans"/>
              </a:defRPr>
            </a:pPr>
            <a:endParaRPr lang="pt-BR"/>
          </a:p>
        </c:txPr>
        <c:crossAx val="24386793"/>
        <c:crosses val="autoZero"/>
        <c:auto val="1"/>
        <c:lblAlgn val="ctr"/>
        <c:lblOffset val="100"/>
        <c:noMultiLvlLbl val="0"/>
      </c:catAx>
      <c:valAx>
        <c:axId val="24386793"/>
        <c:scaling>
          <c:orientation val="minMax"/>
          <c:min val="0.69000000000000017"/>
        </c:scaling>
        <c:delete val="0"/>
        <c:axPos val="l"/>
        <c:majorGridlines>
          <c:spPr>
            <a:ln w="9360">
              <a:solidFill>
                <a:srgbClr val="D9D9D9"/>
              </a:solidFill>
              <a:round/>
            </a:ln>
          </c:spPr>
        </c:majorGridlines>
        <c:numFmt formatCode="0.00%" sourceLinked="0"/>
        <c:majorTickMark val="none"/>
        <c:minorTickMark val="none"/>
        <c:tickLblPos val="nextTo"/>
        <c:spPr>
          <a:ln w="6480">
            <a:noFill/>
          </a:ln>
        </c:spPr>
        <c:txPr>
          <a:bodyPr/>
          <a:lstStyle/>
          <a:p>
            <a:pPr>
              <a:defRPr sz="900" b="0" u="none" strike="noStrike">
                <a:solidFill>
                  <a:srgbClr val="595959"/>
                </a:solidFill>
                <a:uFillTx/>
                <a:latin typeface="Arial"/>
                <a:ea typeface="DejaVu Sans"/>
              </a:defRPr>
            </a:pPr>
            <a:endParaRPr lang="pt-BR"/>
          </a:p>
        </c:txPr>
        <c:crossAx val="49787986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900" b="0" u="none" strike="noStrike">
              <a:solidFill>
                <a:srgbClr val="595959"/>
              </a:solidFill>
              <a:uFillTx/>
              <a:latin typeface="Arial"/>
              <a:ea typeface="DejaVu Sans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image" Target="../media/image1.png"/><Relationship Id="rId4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7.xml"/><Relationship Id="rId2" Type="http://schemas.openxmlformats.org/officeDocument/2006/relationships/chart" Target="../charts/chart6.xml"/><Relationship Id="rId1" Type="http://schemas.openxmlformats.org/officeDocument/2006/relationships/chart" Target="../charts/chart5.xml"/><Relationship Id="rId6" Type="http://schemas.openxmlformats.org/officeDocument/2006/relationships/image" Target="../media/image2.png"/><Relationship Id="rId5" Type="http://schemas.openxmlformats.org/officeDocument/2006/relationships/image" Target="../media/image1.png"/><Relationship Id="rId4" Type="http://schemas.openxmlformats.org/officeDocument/2006/relationships/chart" Target="../charts/chart8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47</xdr:row>
      <xdr:rowOff>0</xdr:rowOff>
    </xdr:from>
    <xdr:to>
      <xdr:col>2</xdr:col>
      <xdr:colOff>42792</xdr:colOff>
      <xdr:row>51</xdr:row>
      <xdr:rowOff>141752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A5AEFA78-12D1-418D-8853-32384959E05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7200" y="8299450"/>
          <a:ext cx="2164431" cy="776752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47</xdr:row>
      <xdr:rowOff>0</xdr:rowOff>
    </xdr:from>
    <xdr:to>
      <xdr:col>2</xdr:col>
      <xdr:colOff>18131</xdr:colOff>
      <xdr:row>51</xdr:row>
      <xdr:rowOff>135402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735139C0-6239-47C7-80DA-542FDEB377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57200" y="8299450"/>
          <a:ext cx="2164431" cy="776752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10</xdr:col>
      <xdr:colOff>577440</xdr:colOff>
      <xdr:row>57</xdr:row>
      <xdr:rowOff>45360</xdr:rowOff>
    </xdr:from>
    <xdr:to>
      <xdr:col>15</xdr:col>
      <xdr:colOff>479547</xdr:colOff>
      <xdr:row>78</xdr:row>
      <xdr:rowOff>7201</xdr:rowOff>
    </xdr:to>
    <xdr:graphicFrame macro="">
      <xdr:nvGraphicFramePr>
        <xdr:cNvPr id="2" name="Gráfico 5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379800</xdr:colOff>
      <xdr:row>79</xdr:row>
      <xdr:rowOff>126720</xdr:rowOff>
    </xdr:from>
    <xdr:to>
      <xdr:col>15</xdr:col>
      <xdr:colOff>281907</xdr:colOff>
      <xdr:row>96</xdr:row>
      <xdr:rowOff>73440</xdr:rowOff>
    </xdr:to>
    <xdr:graphicFrame macro="">
      <xdr:nvGraphicFramePr>
        <xdr:cNvPr id="3" name="Gráfico 6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10</xdr:col>
      <xdr:colOff>194040</xdr:colOff>
      <xdr:row>100</xdr:row>
      <xdr:rowOff>22320</xdr:rowOff>
    </xdr:from>
    <xdr:to>
      <xdr:col>15</xdr:col>
      <xdr:colOff>96147</xdr:colOff>
      <xdr:row>117</xdr:row>
      <xdr:rowOff>4679</xdr:rowOff>
    </xdr:to>
    <xdr:graphicFrame macro="">
      <xdr:nvGraphicFramePr>
        <xdr:cNvPr id="4" name="Gráfico 7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54720</xdr:colOff>
      <xdr:row>119</xdr:row>
      <xdr:rowOff>160560</xdr:rowOff>
    </xdr:from>
    <xdr:to>
      <xdr:col>14</xdr:col>
      <xdr:colOff>909327</xdr:colOff>
      <xdr:row>136</xdr:row>
      <xdr:rowOff>143280</xdr:rowOff>
    </xdr:to>
    <xdr:graphicFrame macro="">
      <xdr:nvGraphicFramePr>
        <xdr:cNvPr id="5" name="Gráfico 8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0</xdr:colOff>
      <xdr:row>47</xdr:row>
      <xdr:rowOff>0</xdr:rowOff>
    </xdr:from>
    <xdr:to>
      <xdr:col>2</xdr:col>
      <xdr:colOff>18131</xdr:colOff>
      <xdr:row>51</xdr:row>
      <xdr:rowOff>65552</xdr:rowOff>
    </xdr:to>
    <xdr:pic>
      <xdr:nvPicPr>
        <xdr:cNvPr id="6" name="Imagem 5">
          <a:extLst>
            <a:ext uri="{FF2B5EF4-FFF2-40B4-BE49-F238E27FC236}">
              <a16:creationId xmlns:a16="http://schemas.microsoft.com/office/drawing/2014/main" id="{2DFF3AB7-CF91-4DE9-AE5B-B457EF0C26C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7200" y="8299450"/>
          <a:ext cx="2164431" cy="70055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2075052</xdr:colOff>
      <xdr:row>106</xdr:row>
      <xdr:rowOff>0</xdr:rowOff>
    </xdr:from>
    <xdr:to>
      <xdr:col>6</xdr:col>
      <xdr:colOff>687916</xdr:colOff>
      <xdr:row>119</xdr:row>
      <xdr:rowOff>92250</xdr:rowOff>
    </xdr:to>
    <xdr:graphicFrame macro="">
      <xdr:nvGraphicFramePr>
        <xdr:cNvPr id="5" name="Gráfico 5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9</xdr:col>
      <xdr:colOff>1029003</xdr:colOff>
      <xdr:row>106</xdr:row>
      <xdr:rowOff>15619</xdr:rowOff>
    </xdr:from>
    <xdr:to>
      <xdr:col>15</xdr:col>
      <xdr:colOff>744196</xdr:colOff>
      <xdr:row>122</xdr:row>
      <xdr:rowOff>81784</xdr:rowOff>
    </xdr:to>
    <xdr:graphicFrame macro="">
      <xdr:nvGraphicFramePr>
        <xdr:cNvPr id="6" name="Gráfico 6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1</xdr:col>
      <xdr:colOff>2122406</xdr:colOff>
      <xdr:row>137</xdr:row>
      <xdr:rowOff>157245</xdr:rowOff>
    </xdr:from>
    <xdr:to>
      <xdr:col>7</xdr:col>
      <xdr:colOff>45992</xdr:colOff>
      <xdr:row>154</xdr:row>
      <xdr:rowOff>134932</xdr:rowOff>
    </xdr:to>
    <xdr:graphicFrame macro="">
      <xdr:nvGraphicFramePr>
        <xdr:cNvPr id="7" name="Gráfico 7">
          <a:extLst>
            <a:ext uri="{FF2B5EF4-FFF2-40B4-BE49-F238E27FC236}">
              <a16:creationId xmlns:a16="http://schemas.microsoft.com/office/drawing/2014/main" id="{00000000-0008-0000-0300-000007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10</xdr:col>
      <xdr:colOff>33874</xdr:colOff>
      <xdr:row>137</xdr:row>
      <xdr:rowOff>192861</xdr:rowOff>
    </xdr:from>
    <xdr:to>
      <xdr:col>15</xdr:col>
      <xdr:colOff>740225</xdr:colOff>
      <xdr:row>158</xdr:row>
      <xdr:rowOff>19150</xdr:rowOff>
    </xdr:to>
    <xdr:graphicFrame macro="">
      <xdr:nvGraphicFramePr>
        <xdr:cNvPr id="8" name="Gráfico 8">
          <a:extLst>
            <a:ext uri="{FF2B5EF4-FFF2-40B4-BE49-F238E27FC236}">
              <a16:creationId xmlns:a16="http://schemas.microsoft.com/office/drawing/2014/main" id="{00000000-0008-0000-0300-000008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1</xdr:col>
      <xdr:colOff>0</xdr:colOff>
      <xdr:row>47</xdr:row>
      <xdr:rowOff>0</xdr:rowOff>
    </xdr:from>
    <xdr:to>
      <xdr:col>2</xdr:col>
      <xdr:colOff>18131</xdr:colOff>
      <xdr:row>50</xdr:row>
      <xdr:rowOff>148102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3866A2DC-AA1F-4CE1-A1D1-6C786D3DE2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459154" y="8323385"/>
          <a:ext cx="2162477" cy="704948"/>
        </a:xfrm>
        <a:prstGeom prst="rect">
          <a:avLst/>
        </a:prstGeom>
      </xdr:spPr>
    </xdr:pic>
    <xdr:clientData/>
  </xdr:twoCellAnchor>
  <xdr:twoCellAnchor editAs="oneCell">
    <xdr:from>
      <xdr:col>1</xdr:col>
      <xdr:colOff>400050</xdr:colOff>
      <xdr:row>72</xdr:row>
      <xdr:rowOff>127000</xdr:rowOff>
    </xdr:from>
    <xdr:to>
      <xdr:col>1</xdr:col>
      <xdr:colOff>2010000</xdr:colOff>
      <xdr:row>74</xdr:row>
      <xdr:rowOff>47658</xdr:rowOff>
    </xdr:to>
    <xdr:pic>
      <xdr:nvPicPr>
        <xdr:cNvPr id="3" name="Imagem 2">
          <a:extLst>
            <a:ext uri="{FF2B5EF4-FFF2-40B4-BE49-F238E27FC236}">
              <a16:creationId xmlns:a16="http://schemas.microsoft.com/office/drawing/2014/main" id="{DF80E1FA-59D6-4A62-97E3-8787B5F052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857250" y="12738100"/>
          <a:ext cx="1609950" cy="238158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247650</xdr:colOff>
      <xdr:row>54</xdr:row>
      <xdr:rowOff>66675</xdr:rowOff>
    </xdr:from>
    <xdr:to>
      <xdr:col>3</xdr:col>
      <xdr:colOff>18131</xdr:colOff>
      <xdr:row>59</xdr:row>
      <xdr:rowOff>46502</xdr:rowOff>
    </xdr:to>
    <xdr:pic>
      <xdr:nvPicPr>
        <xdr:cNvPr id="2" name="Imagem 1">
          <a:extLst>
            <a:ext uri="{FF2B5EF4-FFF2-40B4-BE49-F238E27FC236}">
              <a16:creationId xmlns:a16="http://schemas.microsoft.com/office/drawing/2014/main" id="{D0E2D4FD-80C2-40BF-B04F-5A6A3F15C6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47650" y="9591675"/>
          <a:ext cx="2066006" cy="78945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70"/>
  <sheetViews>
    <sheetView topLeftCell="A13" zoomScale="86" zoomScaleNormal="86" workbookViewId="0">
      <selection activeCell="M47" sqref="M47:M53"/>
    </sheetView>
  </sheetViews>
  <sheetFormatPr defaultColWidth="11.5703125" defaultRowHeight="12.75"/>
  <cols>
    <col min="1" max="1" width="3.85546875" customWidth="1"/>
    <col min="2" max="2" width="30.42578125" customWidth="1"/>
    <col min="3" max="3" width="17.7109375" customWidth="1"/>
    <col min="8" max="8" width="5.85546875" customWidth="1"/>
  </cols>
  <sheetData>
    <row r="1" spans="2:23">
      <c r="B1" s="1"/>
    </row>
    <row r="2" spans="2:23">
      <c r="B2" s="1" t="s">
        <v>0</v>
      </c>
    </row>
    <row r="3" spans="2:23">
      <c r="B3" t="s">
        <v>1</v>
      </c>
      <c r="D3" s="2">
        <v>503</v>
      </c>
      <c r="E3" s="2">
        <v>503</v>
      </c>
      <c r="F3" s="2">
        <v>503</v>
      </c>
      <c r="G3" s="2">
        <v>503</v>
      </c>
      <c r="I3" s="3">
        <v>503</v>
      </c>
      <c r="J3" s="3">
        <v>523</v>
      </c>
      <c r="K3" s="3">
        <v>543</v>
      </c>
      <c r="M3" s="2">
        <v>543</v>
      </c>
      <c r="N3" s="2">
        <v>543</v>
      </c>
      <c r="O3" s="2">
        <v>543</v>
      </c>
      <c r="Q3" s="2">
        <v>523</v>
      </c>
      <c r="R3" s="2">
        <v>523</v>
      </c>
      <c r="S3" s="2"/>
      <c r="U3" s="2"/>
      <c r="V3" s="2"/>
      <c r="W3" s="2"/>
    </row>
    <row r="4" spans="2:23">
      <c r="B4" t="s">
        <v>2</v>
      </c>
      <c r="D4">
        <v>20</v>
      </c>
      <c r="E4">
        <v>20</v>
      </c>
      <c r="F4">
        <v>20</v>
      </c>
      <c r="G4">
        <v>20</v>
      </c>
      <c r="I4">
        <v>20</v>
      </c>
      <c r="J4">
        <v>20</v>
      </c>
      <c r="K4">
        <v>20</v>
      </c>
      <c r="M4">
        <v>20</v>
      </c>
      <c r="N4">
        <v>20</v>
      </c>
      <c r="O4">
        <v>20</v>
      </c>
      <c r="Q4" s="4">
        <v>10</v>
      </c>
      <c r="R4" s="4">
        <v>20</v>
      </c>
      <c r="S4" s="4"/>
      <c r="U4" s="4"/>
      <c r="V4" s="4"/>
      <c r="W4" s="4"/>
    </row>
    <row r="5" spans="2:23">
      <c r="B5" t="s">
        <v>3</v>
      </c>
      <c r="C5" s="5"/>
      <c r="D5">
        <v>10</v>
      </c>
      <c r="E5">
        <v>10</v>
      </c>
      <c r="F5">
        <v>10</v>
      </c>
      <c r="G5">
        <v>10</v>
      </c>
      <c r="I5">
        <v>10</v>
      </c>
      <c r="J5">
        <v>10</v>
      </c>
      <c r="K5">
        <v>10</v>
      </c>
      <c r="M5">
        <v>10</v>
      </c>
      <c r="N5">
        <v>10</v>
      </c>
      <c r="O5">
        <v>10</v>
      </c>
      <c r="Q5">
        <v>10</v>
      </c>
      <c r="R5">
        <v>10</v>
      </c>
    </row>
    <row r="6" spans="2:23">
      <c r="B6" t="s">
        <v>4</v>
      </c>
      <c r="D6">
        <v>8.9387299999999996</v>
      </c>
      <c r="E6">
        <v>8.2386599999999994</v>
      </c>
      <c r="F6">
        <v>7.5476099999999997</v>
      </c>
      <c r="G6">
        <v>6.5378400000000001</v>
      </c>
      <c r="I6">
        <v>7.5476099999999997</v>
      </c>
      <c r="J6">
        <v>7.5476099999999997</v>
      </c>
      <c r="K6">
        <v>3.5825999999999998</v>
      </c>
      <c r="M6">
        <v>3.5825999999999998</v>
      </c>
      <c r="N6">
        <v>3.7559800000000001</v>
      </c>
      <c r="Q6">
        <v>4.6162299999999998</v>
      </c>
    </row>
    <row r="8" spans="2:23" ht="15.75">
      <c r="B8" t="s">
        <v>5</v>
      </c>
      <c r="C8" s="5"/>
      <c r="D8">
        <v>2</v>
      </c>
      <c r="E8">
        <v>2</v>
      </c>
      <c r="F8">
        <v>2</v>
      </c>
      <c r="G8">
        <v>2</v>
      </c>
      <c r="I8">
        <v>2</v>
      </c>
      <c r="J8">
        <v>2</v>
      </c>
      <c r="K8">
        <v>2</v>
      </c>
      <c r="M8" s="4">
        <v>2</v>
      </c>
      <c r="N8" s="4">
        <v>2.2000000000000002</v>
      </c>
      <c r="O8" s="4">
        <v>2.5</v>
      </c>
      <c r="Q8" s="6">
        <v>2</v>
      </c>
      <c r="R8" s="6">
        <v>2</v>
      </c>
      <c r="S8" s="6"/>
      <c r="U8" s="6"/>
      <c r="V8" s="6"/>
      <c r="W8" s="6"/>
    </row>
    <row r="9" spans="2:23" ht="15.75">
      <c r="B9" t="s">
        <v>6</v>
      </c>
      <c r="D9">
        <f>D8/(1+D8)</f>
        <v>0.66666666666666663</v>
      </c>
      <c r="E9">
        <f>E8/(1+E8)</f>
        <v>0.66666666666666663</v>
      </c>
      <c r="F9">
        <f>F8/(1+F8)</f>
        <v>0.66666666666666663</v>
      </c>
      <c r="G9">
        <f>G8/(1+G8)</f>
        <v>0.66666666666666663</v>
      </c>
      <c r="I9">
        <f>I8/(1+I8)</f>
        <v>0.66666666666666663</v>
      </c>
      <c r="J9">
        <f>J8/(1+J8)</f>
        <v>0.66666666666666663</v>
      </c>
      <c r="K9">
        <f>K8/(1+K8)</f>
        <v>0.66666666666666663</v>
      </c>
      <c r="M9">
        <f>M8/(1+M8)</f>
        <v>0.66666666666666663</v>
      </c>
      <c r="N9">
        <f>N8/(1+N8)</f>
        <v>0.6875</v>
      </c>
      <c r="O9">
        <f>O8/(1+O8)</f>
        <v>0.7142857142857143</v>
      </c>
      <c r="Q9">
        <f>Q8/(1+Q8)</f>
        <v>0.66666666666666663</v>
      </c>
      <c r="R9">
        <f>R8/(1+R8)</f>
        <v>0.66666666666666663</v>
      </c>
    </row>
    <row r="10" spans="2:23">
      <c r="B10" t="s">
        <v>7</v>
      </c>
      <c r="D10">
        <f>1/(1+D8)</f>
        <v>0.33333333333333331</v>
      </c>
      <c r="E10">
        <f>1/(1+E8)</f>
        <v>0.33333333333333331</v>
      </c>
      <c r="F10">
        <f>1/(1+F8)</f>
        <v>0.33333333333333331</v>
      </c>
      <c r="G10">
        <f>1/(1+G8)</f>
        <v>0.33333333333333331</v>
      </c>
      <c r="I10">
        <f>1/(1+I8)</f>
        <v>0.33333333333333331</v>
      </c>
      <c r="J10">
        <f>1/(1+J8)</f>
        <v>0.33333333333333331</v>
      </c>
      <c r="K10">
        <f>1/(1+K8)</f>
        <v>0.33333333333333331</v>
      </c>
      <c r="M10">
        <f>1/(1+M8)</f>
        <v>0.33333333333333331</v>
      </c>
      <c r="N10">
        <f>1/(1+N8)</f>
        <v>0.3125</v>
      </c>
      <c r="O10">
        <f>1/(1+O8)</f>
        <v>0.2857142857142857</v>
      </c>
      <c r="Q10">
        <f>1/(1+Q8)</f>
        <v>0.33333333333333331</v>
      </c>
      <c r="R10">
        <f>1/(1+R8)</f>
        <v>0.33333333333333331</v>
      </c>
    </row>
    <row r="11" spans="2:23" ht="15.75">
      <c r="B11" t="s">
        <v>8</v>
      </c>
      <c r="D11">
        <f>D5*D10</f>
        <v>3.333333333333333</v>
      </c>
      <c r="E11">
        <f>E5*E10</f>
        <v>3.333333333333333</v>
      </c>
      <c r="F11">
        <f>F5*F10</f>
        <v>3.333333333333333</v>
      </c>
      <c r="G11">
        <f>G5*G10</f>
        <v>3.333333333333333</v>
      </c>
      <c r="I11">
        <f>I5*I10</f>
        <v>3.333333333333333</v>
      </c>
      <c r="J11">
        <f>J5*J10</f>
        <v>3.333333333333333</v>
      </c>
      <c r="K11">
        <f>K5*K10</f>
        <v>3.333333333333333</v>
      </c>
      <c r="M11">
        <f>M5*M10</f>
        <v>3.333333333333333</v>
      </c>
      <c r="N11">
        <f>N5*N10</f>
        <v>3.125</v>
      </c>
      <c r="O11">
        <f>O5*O10</f>
        <v>2.8571428571428568</v>
      </c>
      <c r="Q11">
        <f>Q5*Q10</f>
        <v>3.333333333333333</v>
      </c>
      <c r="R11">
        <f>R5*R10</f>
        <v>3.333333333333333</v>
      </c>
    </row>
    <row r="12" spans="2:23">
      <c r="G12" s="7"/>
    </row>
    <row r="13" spans="2:23">
      <c r="B13" t="s">
        <v>9</v>
      </c>
      <c r="D13" s="8" t="s">
        <v>10</v>
      </c>
      <c r="E13" s="8" t="s">
        <v>11</v>
      </c>
      <c r="F13" s="9" t="s">
        <v>12</v>
      </c>
      <c r="G13" s="8" t="s">
        <v>13</v>
      </c>
      <c r="I13" s="10" t="s">
        <v>12</v>
      </c>
      <c r="J13" s="11" t="s">
        <v>12</v>
      </c>
      <c r="K13" s="10" t="s">
        <v>12</v>
      </c>
      <c r="M13" s="10" t="s">
        <v>12</v>
      </c>
      <c r="N13" s="10" t="s">
        <v>12</v>
      </c>
      <c r="O13" s="10" t="s">
        <v>12</v>
      </c>
      <c r="Q13" s="10" t="s">
        <v>12</v>
      </c>
      <c r="R13" s="10" t="s">
        <v>12</v>
      </c>
      <c r="S13" s="10"/>
      <c r="U13" s="10"/>
      <c r="V13" s="10"/>
      <c r="W13" s="10"/>
    </row>
    <row r="14" spans="2:23">
      <c r="D14" s="2" t="s">
        <v>14</v>
      </c>
      <c r="E14" s="2" t="s">
        <v>14</v>
      </c>
      <c r="F14" s="2" t="s">
        <v>14</v>
      </c>
      <c r="G14" s="2" t="s">
        <v>14</v>
      </c>
      <c r="I14" s="2" t="s">
        <v>14</v>
      </c>
      <c r="J14" s="2" t="s">
        <v>14</v>
      </c>
      <c r="K14" s="2" t="s">
        <v>14</v>
      </c>
      <c r="M14" s="2" t="s">
        <v>14</v>
      </c>
      <c r="N14" s="2" t="s">
        <v>14</v>
      </c>
      <c r="O14" s="2" t="s">
        <v>14</v>
      </c>
      <c r="Q14" s="2" t="s">
        <v>14</v>
      </c>
      <c r="R14" s="2" t="s">
        <v>14</v>
      </c>
      <c r="S14" s="2"/>
      <c r="U14" s="2"/>
      <c r="V14" s="2"/>
      <c r="W14" s="2"/>
    </row>
    <row r="15" spans="2:23" ht="15.75">
      <c r="B15" t="s">
        <v>15</v>
      </c>
      <c r="D15" s="7">
        <v>2.8024817</v>
      </c>
      <c r="E15" s="7">
        <v>2.4520485999999999</v>
      </c>
      <c r="F15" s="7">
        <v>2.1059185999999999</v>
      </c>
      <c r="G15" s="7">
        <v>1.5997318</v>
      </c>
      <c r="I15" s="7">
        <v>2.1059185999999999</v>
      </c>
      <c r="J15" s="7">
        <v>0.67066095000000003</v>
      </c>
      <c r="K15" s="7">
        <v>0.11742906</v>
      </c>
      <c r="M15" s="7">
        <v>0.11742906</v>
      </c>
      <c r="N15" s="12">
        <v>1.3253072E-5</v>
      </c>
      <c r="O15" s="12">
        <v>1.5456417E-8</v>
      </c>
      <c r="Q15" s="7">
        <v>0.64035907999999997</v>
      </c>
      <c r="R15" s="7">
        <v>0.67066148999999997</v>
      </c>
      <c r="S15" s="12"/>
      <c r="U15" s="12"/>
      <c r="V15" s="12"/>
      <c r="W15" s="12"/>
    </row>
    <row r="16" spans="2:23" ht="15.75">
      <c r="B16" t="s">
        <v>16</v>
      </c>
      <c r="D16" s="7">
        <v>5.5656438000000001</v>
      </c>
      <c r="E16" s="7">
        <v>4.8388540000000004</v>
      </c>
      <c r="F16" s="7">
        <v>4.1214044999999997</v>
      </c>
      <c r="G16" s="7">
        <v>3.0732024999999998</v>
      </c>
      <c r="I16" s="7">
        <v>4.1214044999999997</v>
      </c>
      <c r="J16" s="7">
        <v>1.1446428</v>
      </c>
      <c r="K16" s="7">
        <v>0</v>
      </c>
      <c r="M16" s="7">
        <v>0</v>
      </c>
      <c r="N16" s="7">
        <v>0.38830543000000001</v>
      </c>
      <c r="O16" s="7">
        <v>1.2112763</v>
      </c>
      <c r="Q16" s="7">
        <v>1.0812554999999999</v>
      </c>
      <c r="R16" s="7">
        <v>1.1446429</v>
      </c>
      <c r="S16" s="7"/>
      <c r="U16" s="7"/>
      <c r="V16" s="7"/>
      <c r="W16" s="7"/>
    </row>
    <row r="17" spans="1:23" ht="15.75">
      <c r="B17" t="s">
        <v>17</v>
      </c>
      <c r="D17" s="7">
        <v>0.53041841999999995</v>
      </c>
      <c r="E17" s="7">
        <v>0.88005973999999998</v>
      </c>
      <c r="F17" s="7">
        <v>1.2249768000000001</v>
      </c>
      <c r="G17" s="7">
        <v>1.7285581000000001</v>
      </c>
      <c r="I17" s="7">
        <v>1.2249768000000001</v>
      </c>
      <c r="J17" s="7">
        <v>2.6542504999999998</v>
      </c>
      <c r="K17" s="7">
        <v>3.2044475000000001</v>
      </c>
      <c r="M17" s="7">
        <v>3.2044475000000001</v>
      </c>
      <c r="N17" s="7">
        <v>3.1190334000000002</v>
      </c>
      <c r="O17" s="7">
        <v>2.8535838</v>
      </c>
      <c r="Q17" s="7">
        <v>2.6907987000000002</v>
      </c>
      <c r="R17" s="7">
        <v>2.6542503000000002</v>
      </c>
      <c r="S17" s="7"/>
      <c r="U17" s="7"/>
      <c r="V17" s="7"/>
      <c r="W17" s="7"/>
    </row>
    <row r="18" spans="1:23" ht="15.75">
      <c r="B18" t="s">
        <v>18</v>
      </c>
      <c r="D18" s="7">
        <v>2.1642284999999999E-4</v>
      </c>
      <c r="E18" s="7">
        <v>6.1235469000000002E-4</v>
      </c>
      <c r="F18" s="7">
        <v>1.218787E-3</v>
      </c>
      <c r="G18" s="7">
        <v>2.5215417999999998E-3</v>
      </c>
      <c r="I18" s="7">
        <v>1.218787E-3</v>
      </c>
      <c r="J18" s="7">
        <v>4.2107543000000002E-3</v>
      </c>
      <c r="K18" s="7">
        <v>5.7282225000000004E-3</v>
      </c>
      <c r="M18" s="7">
        <v>5.7282225000000004E-3</v>
      </c>
      <c r="N18" s="7">
        <v>2.9766807E-3</v>
      </c>
      <c r="O18" s="7">
        <v>1.7795224999999999E-3</v>
      </c>
      <c r="Q18" s="7">
        <v>1.0877852E-3</v>
      </c>
      <c r="R18" s="7">
        <v>4.2107550999999997E-3</v>
      </c>
      <c r="S18" s="7"/>
      <c r="U18" s="7"/>
      <c r="V18" s="7"/>
      <c r="W18" s="7"/>
    </row>
    <row r="19" spans="1:23">
      <c r="A19" s="2"/>
      <c r="C19" s="2" t="s">
        <v>19</v>
      </c>
      <c r="D19" s="2"/>
    </row>
    <row r="20" spans="1:23" ht="15.75">
      <c r="A20">
        <v>1</v>
      </c>
      <c r="B20" t="s">
        <v>20</v>
      </c>
      <c r="C20" s="2">
        <v>72.150000000000006</v>
      </c>
      <c r="D20" s="7">
        <v>2.3601642000000002E-3</v>
      </c>
      <c r="E20" s="7">
        <v>4.2109032000000003E-3</v>
      </c>
      <c r="F20" s="7">
        <v>6.1386447000000002E-3</v>
      </c>
      <c r="G20" s="7">
        <v>9.0675241E-3</v>
      </c>
      <c r="I20" s="7">
        <v>6.1386447000000002E-3</v>
      </c>
      <c r="J20" s="7">
        <v>1.5479713000000001E-2</v>
      </c>
      <c r="K20" s="7">
        <v>1.9634921999999999E-2</v>
      </c>
      <c r="M20" s="7">
        <v>1.9634921999999999E-2</v>
      </c>
      <c r="N20" s="7">
        <v>1.8128258000000001E-2</v>
      </c>
      <c r="O20" s="7">
        <v>1.5737933999999999E-2</v>
      </c>
      <c r="Q20" s="7">
        <v>1.1953159E-2</v>
      </c>
      <c r="R20" s="7">
        <v>1.5479712E-2</v>
      </c>
      <c r="S20" s="7"/>
      <c r="U20" s="7"/>
      <c r="V20" s="7"/>
      <c r="W20" s="7"/>
    </row>
    <row r="21" spans="1:23" ht="15.75">
      <c r="A21">
        <v>6</v>
      </c>
      <c r="B21" t="s">
        <v>21</v>
      </c>
      <c r="C21" s="2">
        <v>86.18</v>
      </c>
      <c r="D21" s="7">
        <v>2.1730718000000002E-3</v>
      </c>
      <c r="E21" s="7">
        <v>3.8621397999999999E-3</v>
      </c>
      <c r="F21" s="7">
        <v>5.6157749000000003E-3</v>
      </c>
      <c r="G21" s="7">
        <v>8.2735736000000004E-3</v>
      </c>
      <c r="I21" s="7">
        <v>5.6157749000000003E-3</v>
      </c>
      <c r="J21" s="7">
        <v>1.4033739999999999E-2</v>
      </c>
      <c r="K21" s="7">
        <v>1.7741962999999999E-2</v>
      </c>
      <c r="M21" s="7">
        <v>1.7741962999999999E-2</v>
      </c>
      <c r="N21" s="7">
        <v>1.6431896000000001E-2</v>
      </c>
      <c r="O21" s="7">
        <v>1.4312119E-2</v>
      </c>
      <c r="Q21" s="7">
        <v>1.1008343E-2</v>
      </c>
      <c r="R21" s="7">
        <v>1.4033739E-2</v>
      </c>
      <c r="S21" s="7"/>
      <c r="U21" s="7"/>
      <c r="V21" s="7"/>
      <c r="W21" s="7"/>
    </row>
    <row r="22" spans="1:23" ht="15.75">
      <c r="A22">
        <v>7</v>
      </c>
      <c r="B22" t="s">
        <v>22</v>
      </c>
      <c r="C22" s="2">
        <v>100.21</v>
      </c>
      <c r="D22" s="7">
        <v>2.0008877E-3</v>
      </c>
      <c r="E22" s="7">
        <v>3.542412E-3</v>
      </c>
      <c r="F22" s="7">
        <v>5.1376694000000002E-3</v>
      </c>
      <c r="G22" s="7">
        <v>7.5494832999999997E-3</v>
      </c>
      <c r="I22" s="7">
        <v>5.1376694000000002E-3</v>
      </c>
      <c r="J22" s="7">
        <v>1.2723383E-2</v>
      </c>
      <c r="K22" s="7">
        <v>1.6032252E-2</v>
      </c>
      <c r="M22" s="7">
        <v>1.6032252E-2</v>
      </c>
      <c r="N22" s="7">
        <v>1.4895136999999999E-2</v>
      </c>
      <c r="O22" s="7">
        <v>1.3016196000000001E-2</v>
      </c>
      <c r="Q22" s="7">
        <v>1.0138507999999999E-2</v>
      </c>
      <c r="R22" s="7">
        <v>1.2723383E-2</v>
      </c>
      <c r="S22" s="7"/>
      <c r="U22" s="7"/>
      <c r="V22" s="7"/>
      <c r="W22" s="7"/>
    </row>
    <row r="23" spans="1:23" ht="15.75">
      <c r="A23">
        <v>8</v>
      </c>
      <c r="B23" t="s">
        <v>23</v>
      </c>
      <c r="C23" s="2">
        <v>114.23</v>
      </c>
      <c r="D23" s="7">
        <v>1.8424184999999999E-3</v>
      </c>
      <c r="E23" s="7">
        <v>3.2492916999999999E-3</v>
      </c>
      <c r="F23" s="7">
        <v>4.7004786999999999E-3</v>
      </c>
      <c r="G23" s="7">
        <v>6.8890801000000002E-3</v>
      </c>
      <c r="I23" s="7">
        <v>4.7004786999999999E-3</v>
      </c>
      <c r="J23" s="7">
        <v>1.1535881E-2</v>
      </c>
      <c r="K23" s="7">
        <v>1.4487988E-2</v>
      </c>
      <c r="M23" s="7">
        <v>1.4487988E-2</v>
      </c>
      <c r="N23" s="7">
        <v>1.3502900999999999E-2</v>
      </c>
      <c r="O23" s="7">
        <v>1.183828E-2</v>
      </c>
      <c r="Q23" s="7">
        <v>9.3376827000000006E-3</v>
      </c>
      <c r="R23" s="7">
        <v>1.1535881E-2</v>
      </c>
    </row>
    <row r="24" spans="1:23" ht="15.75">
      <c r="A24">
        <v>9</v>
      </c>
      <c r="B24" t="s">
        <v>24</v>
      </c>
      <c r="C24" s="2">
        <v>128.26</v>
      </c>
      <c r="D24" s="7">
        <v>1.6965667000000001E-3</v>
      </c>
      <c r="E24" s="7">
        <v>2.9805546E-3</v>
      </c>
      <c r="F24" s="7">
        <v>4.3006861000000002E-3</v>
      </c>
      <c r="G24" s="7">
        <v>6.2867386999999999E-3</v>
      </c>
      <c r="I24" s="7">
        <v>4.3006861000000002E-3</v>
      </c>
      <c r="J24" s="7">
        <v>1.0459675999999999E-2</v>
      </c>
      <c r="K24" s="7">
        <v>1.3093107E-2</v>
      </c>
      <c r="M24" s="7">
        <v>1.3093107E-2</v>
      </c>
      <c r="N24" s="7">
        <v>1.2241535E-2</v>
      </c>
      <c r="O24" s="7">
        <v>1.0767575999999999E-2</v>
      </c>
      <c r="Q24" s="7">
        <v>8.6003733000000002E-3</v>
      </c>
      <c r="R24" s="7">
        <v>1.0459675E-2</v>
      </c>
    </row>
    <row r="25" spans="1:23" ht="15.75">
      <c r="A25">
        <v>10</v>
      </c>
      <c r="B25" t="s">
        <v>25</v>
      </c>
      <c r="C25" s="2">
        <v>142.29</v>
      </c>
      <c r="D25" s="7">
        <v>1.5623232999999999E-3</v>
      </c>
      <c r="E25" s="7">
        <v>2.7341632E-3</v>
      </c>
      <c r="F25" s="7">
        <v>3.9350779000000002E-3</v>
      </c>
      <c r="G25" s="7">
        <v>5.7373323999999996E-3</v>
      </c>
      <c r="I25" s="7">
        <v>3.9350779000000002E-3</v>
      </c>
      <c r="J25" s="7">
        <v>9.4842992000000008E-3</v>
      </c>
      <c r="K25" s="7">
        <v>1.1833107000000001E-2</v>
      </c>
      <c r="M25" s="7">
        <v>1.1833107000000001E-2</v>
      </c>
      <c r="N25" s="7">
        <v>1.1098683E-2</v>
      </c>
      <c r="O25" s="7">
        <v>9.7942820999999992E-3</v>
      </c>
      <c r="Q25" s="7">
        <v>7.9215247999999995E-3</v>
      </c>
      <c r="R25" s="7">
        <v>9.4842986999999993E-3</v>
      </c>
      <c r="S25" s="7"/>
      <c r="U25" s="7"/>
      <c r="V25" s="7"/>
      <c r="W25" s="7"/>
    </row>
    <row r="26" spans="1:23" ht="15.75">
      <c r="A26">
        <v>11</v>
      </c>
      <c r="B26" t="s">
        <v>26</v>
      </c>
      <c r="C26" s="2">
        <v>156.31</v>
      </c>
      <c r="D26" s="13">
        <v>1.4387598E-3</v>
      </c>
      <c r="E26" s="13">
        <v>2.5082507999999999E-3</v>
      </c>
      <c r="F26" s="13">
        <v>3.6007179000000001E-3</v>
      </c>
      <c r="G26" s="13">
        <v>5.2361886999999999E-3</v>
      </c>
      <c r="I26" s="13">
        <v>3.6007179000000001E-3</v>
      </c>
      <c r="J26" s="13">
        <v>8.6002717999999999E-3</v>
      </c>
      <c r="K26" s="13">
        <v>1.06949E-2</v>
      </c>
      <c r="M26" s="13">
        <v>1.06949E-2</v>
      </c>
      <c r="N26" s="13">
        <v>1.0063157E-2</v>
      </c>
      <c r="O26" s="13">
        <v>8.9094949000000003E-3</v>
      </c>
      <c r="Q26" s="7">
        <v>7.2964854999999999E-3</v>
      </c>
      <c r="R26" s="7">
        <v>8.6002713000000001E-3</v>
      </c>
      <c r="S26" s="7"/>
      <c r="U26" s="7"/>
      <c r="V26" s="7"/>
      <c r="W26" s="7"/>
    </row>
    <row r="27" spans="1:23">
      <c r="C27" s="14" t="s">
        <v>27</v>
      </c>
      <c r="D27" s="1">
        <f>SUM(D20:D26)</f>
        <v>1.3074192E-2</v>
      </c>
      <c r="E27" s="1">
        <f>SUM(E20:E26)</f>
        <v>2.3087715300000002E-2</v>
      </c>
      <c r="F27" s="1">
        <f>SUM(F20:F26)</f>
        <v>3.3429049599999996E-2</v>
      </c>
      <c r="G27" s="1">
        <f>SUM(G20:G26)</f>
        <v>4.9039920899999999E-2</v>
      </c>
      <c r="I27" s="1">
        <f>SUM(I20:I26)</f>
        <v>3.3429049599999996E-2</v>
      </c>
      <c r="J27" s="1">
        <f>SUM(J20:J26)</f>
        <v>8.2316964000000006E-2</v>
      </c>
      <c r="K27" s="1">
        <f>SUM(K20:K26)</f>
        <v>0.10351823899999998</v>
      </c>
      <c r="M27" s="1">
        <f>SUM(M20:M26)</f>
        <v>0.10351823899999998</v>
      </c>
      <c r="N27" s="1">
        <f>SUM(N20:N26)</f>
        <v>9.6361566999999995E-2</v>
      </c>
      <c r="O27" s="1">
        <f>SUM(O20:O26)</f>
        <v>8.4375881999999985E-2</v>
      </c>
      <c r="Q27" s="1">
        <f>SUM(Q20:Q26)</f>
        <v>6.6256076300000008E-2</v>
      </c>
      <c r="R27" s="1">
        <f>SUM(R20:R26)</f>
        <v>8.2316960000000008E-2</v>
      </c>
      <c r="S27" s="1"/>
      <c r="U27" s="1"/>
      <c r="V27" s="1"/>
      <c r="W27" s="1"/>
    </row>
    <row r="29" spans="1:23" ht="15.75">
      <c r="B29" t="s">
        <v>28</v>
      </c>
      <c r="D29" s="7">
        <v>2.6895708000000001E-2</v>
      </c>
      <c r="E29" s="7">
        <v>4.3993509E-2</v>
      </c>
      <c r="F29" s="7">
        <v>6.0660960999999999E-2</v>
      </c>
      <c r="G29" s="7">
        <v>8.4786845E-2</v>
      </c>
      <c r="I29" s="7">
        <v>6.0660960999999999E-2</v>
      </c>
      <c r="J29" s="7">
        <v>0.12699541</v>
      </c>
      <c r="K29" s="7">
        <v>0.15147542</v>
      </c>
      <c r="M29" s="7">
        <v>0.15147542</v>
      </c>
      <c r="N29" s="7">
        <v>0.14928954999999999</v>
      </c>
      <c r="O29" s="7">
        <v>0.13825787</v>
      </c>
      <c r="Q29" s="7">
        <v>0.13646997999999999</v>
      </c>
      <c r="R29" s="7"/>
      <c r="S29" s="7"/>
      <c r="U29" s="7"/>
      <c r="V29" s="7"/>
      <c r="W29" s="7"/>
    </row>
    <row r="30" spans="1:23">
      <c r="G30" s="15"/>
    </row>
    <row r="31" spans="1:23">
      <c r="B31" t="s">
        <v>4</v>
      </c>
      <c r="D31">
        <f>SUM(D15:D26)+D29</f>
        <v>8.9387302428499993</v>
      </c>
      <c r="E31">
        <f>SUM(E15:E26)+E29</f>
        <v>8.2386559189900019</v>
      </c>
      <c r="F31">
        <f>SUM(F15:F26)+F29</f>
        <v>7.5476086975999994</v>
      </c>
      <c r="G31">
        <f>SUM(G15:G26)+G29</f>
        <v>6.5378407076999991</v>
      </c>
      <c r="I31">
        <f>SUM(I15:I26)+I29</f>
        <v>7.5476086975999994</v>
      </c>
      <c r="J31">
        <f>SUM(J15:J26)+J29</f>
        <v>4.683077378300001</v>
      </c>
      <c r="K31">
        <f>SUM(K15:K26)+K29</f>
        <v>3.5825984415000005</v>
      </c>
      <c r="M31">
        <f>SUM(M15:M26)+M29</f>
        <v>3.5825984415000005</v>
      </c>
      <c r="N31">
        <f>SUM(N15:N26)+N29</f>
        <v>3.7559798807719993</v>
      </c>
      <c r="O31">
        <f>SUM(O15:O26)+O29</f>
        <v>4.289273389956417</v>
      </c>
      <c r="Q31">
        <f>SUM(Q15:Q26)+Q29</f>
        <v>4.6162271215000015</v>
      </c>
      <c r="R31">
        <f>SUM(R15:R26)+R29</f>
        <v>4.5560824051000015</v>
      </c>
    </row>
    <row r="32" spans="1:23">
      <c r="G32" s="15"/>
    </row>
    <row r="33" spans="1:23" ht="15.75">
      <c r="B33" t="s">
        <v>29</v>
      </c>
      <c r="C33" t="s">
        <v>30</v>
      </c>
      <c r="D33" s="15">
        <f>(D11-D15)/D11</f>
        <v>0.15925548999999994</v>
      </c>
      <c r="E33" s="15">
        <f>(E11-E15)/E11</f>
        <v>0.26438541999999998</v>
      </c>
      <c r="F33" s="15">
        <f>(F11-F15)/F11</f>
        <v>0.36822442</v>
      </c>
      <c r="G33" s="15">
        <f>(G11-G15)/G11</f>
        <v>0.52008045999999997</v>
      </c>
      <c r="I33" s="15">
        <f>(I11-I15)/I11</f>
        <v>0.36822442</v>
      </c>
      <c r="J33" s="15">
        <f>(J11-J15)/J11</f>
        <v>0.79880171499999986</v>
      </c>
      <c r="K33" s="15">
        <f>(K11-K15)/K11</f>
        <v>0.96477128199999995</v>
      </c>
      <c r="M33" s="15">
        <f>(M11-M15)/M11</f>
        <v>0.96477128199999995</v>
      </c>
      <c r="N33" s="15">
        <f>(N11-N15)/N11</f>
        <v>0.99999575901696003</v>
      </c>
      <c r="O33" s="15">
        <f>(O11-O15)/O11</f>
        <v>0.99999999459025402</v>
      </c>
      <c r="Q33" s="15">
        <f>(Q11-Q15)/Q11</f>
        <v>0.80789227599999991</v>
      </c>
      <c r="R33" s="15">
        <f>(R11-R15)/R11</f>
        <v>0.798801553</v>
      </c>
      <c r="S33" s="15"/>
      <c r="U33" s="15"/>
      <c r="V33" s="15"/>
      <c r="W33" s="15"/>
    </row>
    <row r="34" spans="1:23">
      <c r="D34" s="16">
        <f>D33</f>
        <v>0.15925548999999994</v>
      </c>
      <c r="E34" s="16">
        <f>E33</f>
        <v>0.26438541999999998</v>
      </c>
      <c r="F34" s="16">
        <f>F33</f>
        <v>0.36822442</v>
      </c>
      <c r="G34" s="16">
        <f>G33</f>
        <v>0.52008045999999997</v>
      </c>
      <c r="I34" s="16">
        <f>I33</f>
        <v>0.36822442</v>
      </c>
      <c r="J34" s="16">
        <f>J33</f>
        <v>0.79880171499999986</v>
      </c>
      <c r="K34" s="16">
        <f>K33</f>
        <v>0.96477128199999995</v>
      </c>
      <c r="M34" s="16">
        <f>M33</f>
        <v>0.96477128199999995</v>
      </c>
      <c r="N34" s="16">
        <f>N33</f>
        <v>0.99999575901696003</v>
      </c>
      <c r="O34" s="16">
        <f>O33</f>
        <v>0.99999999459025402</v>
      </c>
      <c r="Q34" s="16">
        <f>Q33</f>
        <v>0.80789227599999991</v>
      </c>
      <c r="R34" s="16">
        <f>R33</f>
        <v>0.798801553</v>
      </c>
      <c r="S34" s="16"/>
      <c r="U34" s="16"/>
      <c r="V34" s="16"/>
      <c r="W34" s="16"/>
    </row>
    <row r="35" spans="1:23">
      <c r="G35" s="15"/>
      <c r="I35" s="15"/>
      <c r="J35" s="15"/>
    </row>
    <row r="36" spans="1:23">
      <c r="B36" t="s">
        <v>31</v>
      </c>
      <c r="D36">
        <f>D29/D27</f>
        <v>2.0571602436311172</v>
      </c>
      <c r="E36">
        <f>E29/E27</f>
        <v>1.9054942608374938</v>
      </c>
      <c r="F36">
        <f>F29/F27</f>
        <v>1.8146181756839419</v>
      </c>
      <c r="G36">
        <f>G29/G27</f>
        <v>1.728935190839592</v>
      </c>
      <c r="I36">
        <f>I29/I27</f>
        <v>1.8146181756839419</v>
      </c>
      <c r="J36">
        <f>J29/J27</f>
        <v>1.5427611008588702</v>
      </c>
      <c r="K36">
        <f>K29/K27</f>
        <v>1.463272766840634</v>
      </c>
      <c r="M36">
        <f>M29/M27</f>
        <v>1.463272766840634</v>
      </c>
      <c r="N36">
        <f>N29/N27</f>
        <v>1.5492644489685394</v>
      </c>
      <c r="O36">
        <f>O29/O27</f>
        <v>1.6385946638163738</v>
      </c>
      <c r="Q36">
        <f>Q29/Q27</f>
        <v>2.0597353121558148</v>
      </c>
      <c r="R36">
        <f>R29/R27</f>
        <v>0</v>
      </c>
    </row>
    <row r="37" spans="1:23">
      <c r="G37" s="15"/>
    </row>
    <row r="38" spans="1:23">
      <c r="B38" t="s">
        <v>32</v>
      </c>
      <c r="C38" t="s">
        <v>33</v>
      </c>
      <c r="D38">
        <f>$A$20*D20+$A$21*D21+$A$22*D22+$A$23*D23+$A$24*D24+$A$25*D25+$A$26*D26</f>
        <v>9.0862847999999996E-2</v>
      </c>
      <c r="E38">
        <f>$A$20*E20+$A$21*E21+$A$22*E22+$A$23*E23+$A$24*E24+$A$25*E25+$A$26*E26</f>
        <v>0.15993234179999999</v>
      </c>
      <c r="F38">
        <f>$A$20*F20+$A$21*F21+$A$22*F22+$A$23*F23+$A$24*F24+$A$25*F25+$A$26*F26</f>
        <v>0.2310656603</v>
      </c>
      <c r="G38">
        <f>$A$20*G20+$A$21*G21+$A$22*G22+$A$23*G23+$A$24*G24+$A$25*G25+$A$26*G26</f>
        <v>0.33822003759999997</v>
      </c>
      <c r="I38">
        <f>$A$20*I20+$A$21*I21+$A$22*I22+$A$23*I23+$A$24*I24+$A$25*I25+$A$26*I26</f>
        <v>0.2310656603</v>
      </c>
      <c r="J38">
        <f>$A$20*J20+$A$21*J21+$A$22*J22+$A$23*J23+$A$24*J24+$A$25*J25+$A$26*J26</f>
        <v>0.56461594780000002</v>
      </c>
      <c r="K38">
        <f>$A$20*K20+$A$21*K21+$A$22*K22+$A$23*K23+$A$24*K24+$A$25*K25+$A$26*K26</f>
        <v>0.70802930100000006</v>
      </c>
      <c r="M38">
        <f>$A$20*M20+$A$21*M21+$A$22*M22+$A$23*M23+$A$24*M24+$A$25*M25+$A$26*M26</f>
        <v>0.70802930100000006</v>
      </c>
      <c r="N38">
        <f>$A$20*N20+$A$21*N21+$A$22*N22+$A$23*N23+$A$24*N24+$A$25*N25+$A$26*N26</f>
        <v>0.660864173</v>
      </c>
      <c r="O38">
        <f>$A$20*O20+$A$21*O21+$A$22*O22+$A$23*O23+$A$24*O24+$A$25*O25+$A$26*O26</f>
        <v>0.58028570889999997</v>
      </c>
      <c r="Q38">
        <f>$A$20*Q20+$A$21*Q21+$A$22*Q22+$A$23*Q23+$A$24*Q24+$A$25*Q25+$A$26*Q26</f>
        <v>0.46055418280000004</v>
      </c>
      <c r="R38">
        <f>$A$20*R20+$A$21*R21+$A$22*R22+$A$23*R23+$A$24*R24+$A$25*R25+$A$26*R26</f>
        <v>0.56461592129999993</v>
      </c>
    </row>
    <row r="39" spans="1:23">
      <c r="B39" s="2" t="s">
        <v>34</v>
      </c>
      <c r="C39" t="s">
        <v>35</v>
      </c>
      <c r="D39">
        <f>D11</f>
        <v>3.333333333333333</v>
      </c>
      <c r="E39">
        <f>E11</f>
        <v>3.333333333333333</v>
      </c>
      <c r="F39">
        <f>F11</f>
        <v>3.333333333333333</v>
      </c>
      <c r="G39">
        <f>G11</f>
        <v>3.333333333333333</v>
      </c>
      <c r="I39">
        <f>I11</f>
        <v>3.333333333333333</v>
      </c>
      <c r="J39">
        <f>J11</f>
        <v>3.333333333333333</v>
      </c>
      <c r="K39">
        <f>K11</f>
        <v>3.333333333333333</v>
      </c>
      <c r="M39">
        <f>M11</f>
        <v>3.333333333333333</v>
      </c>
      <c r="N39">
        <f>N11</f>
        <v>3.125</v>
      </c>
      <c r="O39">
        <f>O11</f>
        <v>2.8571428571428568</v>
      </c>
      <c r="Q39">
        <f>Q11</f>
        <v>3.333333333333333</v>
      </c>
      <c r="R39">
        <f>R11</f>
        <v>3.333333333333333</v>
      </c>
    </row>
    <row r="40" spans="1:23">
      <c r="C40" t="s">
        <v>36</v>
      </c>
      <c r="D40" s="2">
        <f>D38/D39</f>
        <v>2.7258854400000001E-2</v>
      </c>
      <c r="E40" s="2">
        <f>E38/E39</f>
        <v>4.7979702540000002E-2</v>
      </c>
      <c r="F40" s="2">
        <f>F38/F39</f>
        <v>6.9319698090000006E-2</v>
      </c>
      <c r="G40" s="2">
        <f>G38/G39</f>
        <v>0.10146601128</v>
      </c>
      <c r="I40" s="2">
        <f>I38/I39</f>
        <v>6.9319698090000006E-2</v>
      </c>
      <c r="J40" s="2">
        <f>J38/J39</f>
        <v>0.16938478434000001</v>
      </c>
      <c r="K40" s="2">
        <f>K38/K39</f>
        <v>0.21240879030000004</v>
      </c>
      <c r="M40" s="2">
        <f>M38/M39</f>
        <v>0.21240879030000004</v>
      </c>
      <c r="N40" s="2">
        <f>N38/N39</f>
        <v>0.21147653536</v>
      </c>
      <c r="O40" s="2">
        <f>O38/O39</f>
        <v>0.20309999811500001</v>
      </c>
      <c r="Q40" s="2">
        <f>Q38/Q39</f>
        <v>0.13816625484000003</v>
      </c>
      <c r="R40" s="2">
        <f>R38/R39</f>
        <v>0.16938477638999999</v>
      </c>
      <c r="S40" s="2"/>
      <c r="U40" s="2"/>
      <c r="V40" s="2"/>
      <c r="W40" s="2"/>
    </row>
    <row r="41" spans="1:23">
      <c r="D41" s="17">
        <f>D40</f>
        <v>2.7258854400000001E-2</v>
      </c>
      <c r="E41" s="17">
        <f>E40</f>
        <v>4.7979702540000002E-2</v>
      </c>
      <c r="F41" s="17">
        <f>F40</f>
        <v>6.9319698090000006E-2</v>
      </c>
      <c r="G41" s="17">
        <f>G40</f>
        <v>0.10146601128</v>
      </c>
      <c r="I41" s="17">
        <f>I40</f>
        <v>6.9319698090000006E-2</v>
      </c>
      <c r="J41" s="17">
        <f>J40</f>
        <v>0.16938478434000001</v>
      </c>
      <c r="K41" s="17">
        <f>K40</f>
        <v>0.21240879030000004</v>
      </c>
      <c r="M41" s="17">
        <f>M40</f>
        <v>0.21240879030000004</v>
      </c>
      <c r="N41" s="17">
        <f>N40</f>
        <v>0.21147653536</v>
      </c>
      <c r="O41" s="17">
        <f>O40</f>
        <v>0.20309999811500001</v>
      </c>
      <c r="Q41" s="17">
        <f>Q40</f>
        <v>0.13816625484000003</v>
      </c>
      <c r="R41" s="17">
        <f>R40</f>
        <v>0.16938477638999999</v>
      </c>
      <c r="S41" s="17"/>
      <c r="U41" s="17"/>
      <c r="V41" s="17"/>
      <c r="W41" s="17"/>
    </row>
    <row r="43" spans="1:23">
      <c r="B43" t="s">
        <v>37</v>
      </c>
      <c r="C43" t="s">
        <v>33</v>
      </c>
      <c r="D43">
        <f>D38</f>
        <v>9.0862847999999996E-2</v>
      </c>
      <c r="E43">
        <f>E38</f>
        <v>0.15993234179999999</v>
      </c>
      <c r="F43">
        <f>F38</f>
        <v>0.2310656603</v>
      </c>
      <c r="G43">
        <f>G38</f>
        <v>0.33822003759999997</v>
      </c>
      <c r="I43">
        <f>I38</f>
        <v>0.2310656603</v>
      </c>
      <c r="J43">
        <f>J38</f>
        <v>0.56461594780000002</v>
      </c>
      <c r="K43">
        <f>K38</f>
        <v>0.70802930100000006</v>
      </c>
      <c r="M43">
        <f>M38</f>
        <v>0.70802930100000006</v>
      </c>
      <c r="N43">
        <f>N38</f>
        <v>0.660864173</v>
      </c>
      <c r="O43">
        <f>O38</f>
        <v>0.58028570889999997</v>
      </c>
      <c r="Q43">
        <f>Q38</f>
        <v>0.46055418280000004</v>
      </c>
      <c r="R43">
        <f>R38</f>
        <v>0.56461592129999993</v>
      </c>
    </row>
    <row r="44" spans="1:23">
      <c r="B44" t="s">
        <v>38</v>
      </c>
      <c r="C44" t="s">
        <v>35</v>
      </c>
      <c r="D44">
        <f>D39*D33</f>
        <v>0.53085163333333307</v>
      </c>
      <c r="E44">
        <f>E39*E33</f>
        <v>0.88128473333333324</v>
      </c>
      <c r="F44">
        <f>F39*F33</f>
        <v>1.2274147333333332</v>
      </c>
      <c r="G44">
        <f>G39*G33</f>
        <v>1.733601533333333</v>
      </c>
      <c r="I44">
        <f>I39*I33</f>
        <v>1.2274147333333332</v>
      </c>
      <c r="J44">
        <f>J39*J33</f>
        <v>2.6626723833333328</v>
      </c>
      <c r="K44">
        <f>K39*K33</f>
        <v>3.215904273333333</v>
      </c>
      <c r="M44">
        <f>M39*M33</f>
        <v>3.215904273333333</v>
      </c>
      <c r="N44">
        <f>N39*N33</f>
        <v>3.1249867469280002</v>
      </c>
      <c r="O44">
        <f>O39*O33</f>
        <v>2.8571428416864397</v>
      </c>
      <c r="Q44">
        <f>Q39*Q33</f>
        <v>2.692974253333333</v>
      </c>
      <c r="R44">
        <f>R39*R33</f>
        <v>2.662671843333333</v>
      </c>
    </row>
    <row r="45" spans="1:23">
      <c r="C45" t="s">
        <v>36</v>
      </c>
      <c r="D45" s="2">
        <f>D43/D44</f>
        <v>0.1711642995792485</v>
      </c>
      <c r="E45" s="2">
        <f>E43/E44</f>
        <v>0.18147635576878635</v>
      </c>
      <c r="F45" s="2">
        <f>F43/F44</f>
        <v>0.18825394059959416</v>
      </c>
      <c r="G45" s="2">
        <f>G43/G44</f>
        <v>0.19509675729789966</v>
      </c>
      <c r="I45" s="2">
        <f>I43/I44</f>
        <v>0.18825394059959416</v>
      </c>
      <c r="J45" s="2">
        <f>J43/J44</f>
        <v>0.21204859874393239</v>
      </c>
      <c r="K45" s="2">
        <f>K43/K44</f>
        <v>0.22016491811372144</v>
      </c>
      <c r="M45" s="2">
        <f>M43/M44</f>
        <v>0.22016491811372144</v>
      </c>
      <c r="N45" s="2">
        <f>N43/N44</f>
        <v>0.21147743223220342</v>
      </c>
      <c r="O45" s="2">
        <f>O43/O44</f>
        <v>0.20309999921371941</v>
      </c>
      <c r="Q45" s="2">
        <f>Q43/Q44</f>
        <v>0.17102064092515229</v>
      </c>
      <c r="R45" s="2">
        <f>R43/R44</f>
        <v>0.2120486317957872</v>
      </c>
      <c r="S45" s="2"/>
      <c r="U45" s="2"/>
      <c r="V45" s="2"/>
      <c r="W45" s="2"/>
    </row>
    <row r="46" spans="1:23">
      <c r="D46" s="17">
        <f>D45</f>
        <v>0.1711642995792485</v>
      </c>
      <c r="E46" s="17">
        <f>E45</f>
        <v>0.18147635576878635</v>
      </c>
      <c r="F46" s="17">
        <f>F45</f>
        <v>0.18825394059959416</v>
      </c>
      <c r="G46" s="17">
        <f>G45</f>
        <v>0.19509675729789966</v>
      </c>
      <c r="I46" s="17">
        <f>I45</f>
        <v>0.18825394059959416</v>
      </c>
      <c r="J46" s="17">
        <f>J45</f>
        <v>0.21204859874393239</v>
      </c>
      <c r="K46" s="17">
        <f>K45</f>
        <v>0.22016491811372144</v>
      </c>
      <c r="M46" s="17">
        <f>M45</f>
        <v>0.22016491811372144</v>
      </c>
      <c r="N46" s="17">
        <f>N45</f>
        <v>0.21147743223220342</v>
      </c>
      <c r="O46" s="17">
        <f>O45</f>
        <v>0.20309999921371941</v>
      </c>
      <c r="Q46" s="17">
        <f>Q45</f>
        <v>0.17102064092515229</v>
      </c>
      <c r="R46" s="17">
        <f>R45</f>
        <v>0.2120486317957872</v>
      </c>
      <c r="S46" s="17"/>
      <c r="U46" s="17"/>
      <c r="V46" s="17"/>
      <c r="W46" s="17"/>
    </row>
    <row r="47" spans="1:23">
      <c r="A47" s="45"/>
      <c r="B47" s="45"/>
      <c r="C47" s="11" t="s">
        <v>98</v>
      </c>
      <c r="D47" s="62">
        <f t="shared" ref="D47:G52" si="0">D21/D20</f>
        <v>0.92072907469742993</v>
      </c>
      <c r="E47" s="62">
        <f t="shared" si="0"/>
        <v>0.91717610606674593</v>
      </c>
      <c r="F47" s="62">
        <f t="shared" si="0"/>
        <v>0.91482325080648508</v>
      </c>
      <c r="G47" s="62">
        <f t="shared" si="0"/>
        <v>0.91244021066346004</v>
      </c>
      <c r="H47" s="63"/>
      <c r="I47" s="62">
        <f t="shared" ref="I47:K52" si="1">I21/I20</f>
        <v>0.91482325080648508</v>
      </c>
      <c r="J47" s="62">
        <f t="shared" si="1"/>
        <v>0.90658915963106024</v>
      </c>
      <c r="K47" s="62">
        <f t="shared" si="1"/>
        <v>0.90359223224823604</v>
      </c>
      <c r="L47" s="62"/>
      <c r="M47" s="62">
        <f t="shared" ref="M47" si="2">M21/M20</f>
        <v>0.90359223224823604</v>
      </c>
      <c r="N47" s="62">
        <f t="shared" ref="N47:Q52" si="3">N21/N20</f>
        <v>0.90642443416239993</v>
      </c>
      <c r="O47" s="62">
        <f t="shared" si="3"/>
        <v>0.90940265729923642</v>
      </c>
      <c r="P47" s="62"/>
      <c r="Q47" s="62">
        <f t="shared" si="3"/>
        <v>0.92095679476864656</v>
      </c>
      <c r="R47" s="62">
        <f t="shared" ref="R47" si="4">R21/R20</f>
        <v>0.90658915359665604</v>
      </c>
      <c r="S47" s="62"/>
      <c r="T47" s="62"/>
      <c r="U47" s="62"/>
      <c r="V47" s="62"/>
      <c r="W47" s="45"/>
    </row>
    <row r="48" spans="1:23" ht="18.75" customHeight="1">
      <c r="A48" s="45"/>
      <c r="C48" s="11" t="s">
        <v>99</v>
      </c>
      <c r="D48" s="62">
        <f t="shared" si="0"/>
        <v>0.92076465213896741</v>
      </c>
      <c r="E48" s="62">
        <f t="shared" si="0"/>
        <v>0.91721485586824181</v>
      </c>
      <c r="F48" s="62">
        <f t="shared" si="0"/>
        <v>0.91486384185377512</v>
      </c>
      <c r="G48" s="62">
        <f t="shared" si="0"/>
        <v>0.9124815545243955</v>
      </c>
      <c r="H48" s="63"/>
      <c r="I48" s="62">
        <f t="shared" si="1"/>
        <v>0.91486384185377512</v>
      </c>
      <c r="J48" s="62">
        <f t="shared" si="1"/>
        <v>0.90662809771308295</v>
      </c>
      <c r="K48" s="62">
        <f t="shared" si="1"/>
        <v>0.90363462036303432</v>
      </c>
      <c r="L48" s="62"/>
      <c r="M48" s="62">
        <f t="shared" ref="M48" si="5">M22/M21</f>
        <v>0.90363462036303432</v>
      </c>
      <c r="N48" s="62">
        <f t="shared" si="3"/>
        <v>0.90647707361341612</v>
      </c>
      <c r="O48" s="62">
        <f t="shared" si="3"/>
        <v>0.90945275119638125</v>
      </c>
      <c r="P48" s="62"/>
      <c r="Q48" s="62">
        <f t="shared" si="3"/>
        <v>0.92098402093757425</v>
      </c>
      <c r="R48" s="62">
        <f t="shared" ref="R48" si="6">R22/R21</f>
        <v>0.90662816231654297</v>
      </c>
      <c r="S48" s="62"/>
      <c r="T48" s="62"/>
      <c r="U48" s="62"/>
      <c r="V48" s="62"/>
      <c r="W48" s="45"/>
    </row>
    <row r="49" spans="1:23" ht="12.75" customHeight="1">
      <c r="A49" s="45"/>
      <c r="C49" s="11" t="s">
        <v>100</v>
      </c>
      <c r="D49" s="62">
        <f t="shared" si="0"/>
        <v>0.92080055267469529</v>
      </c>
      <c r="E49" s="62">
        <f t="shared" si="0"/>
        <v>0.91725403482147194</v>
      </c>
      <c r="F49" s="62">
        <f t="shared" si="0"/>
        <v>0.91490485939013511</v>
      </c>
      <c r="G49" s="62">
        <f t="shared" si="0"/>
        <v>0.91252339083921152</v>
      </c>
      <c r="H49" s="64"/>
      <c r="I49" s="62">
        <f t="shared" si="1"/>
        <v>0.91490485939013511</v>
      </c>
      <c r="J49" s="62">
        <f t="shared" si="1"/>
        <v>0.90666774709210596</v>
      </c>
      <c r="K49" s="62">
        <f t="shared" si="1"/>
        <v>0.90367766175332076</v>
      </c>
      <c r="L49" s="62"/>
      <c r="M49" s="62">
        <f t="shared" ref="M49" si="7">M23/M22</f>
        <v>0.90367766175332076</v>
      </c>
      <c r="N49" s="62">
        <f t="shared" si="3"/>
        <v>0.90653083620513197</v>
      </c>
      <c r="O49" s="62">
        <f t="shared" si="3"/>
        <v>0.90950382123932361</v>
      </c>
      <c r="P49" s="62"/>
      <c r="Q49" s="62">
        <f t="shared" si="3"/>
        <v>0.92101152358907257</v>
      </c>
      <c r="R49" s="62">
        <f t="shared" ref="R49" si="8">R23/R22</f>
        <v>0.90666774709210596</v>
      </c>
      <c r="S49" s="62"/>
      <c r="T49" s="62"/>
      <c r="U49" s="62"/>
      <c r="V49" s="62"/>
      <c r="W49" s="45"/>
    </row>
    <row r="50" spans="1:23">
      <c r="A50" s="45"/>
      <c r="C50" s="11" t="s">
        <v>101</v>
      </c>
      <c r="D50" s="62">
        <f t="shared" si="0"/>
        <v>0.92083676971328721</v>
      </c>
      <c r="E50" s="62">
        <f t="shared" si="0"/>
        <v>0.91729363664087171</v>
      </c>
      <c r="F50" s="62">
        <f t="shared" si="0"/>
        <v>0.91494640747973188</v>
      </c>
      <c r="G50" s="62">
        <f t="shared" si="0"/>
        <v>0.91256577202520839</v>
      </c>
      <c r="H50" s="64"/>
      <c r="I50" s="62">
        <f t="shared" si="1"/>
        <v>0.91494640747973188</v>
      </c>
      <c r="J50" s="62">
        <f t="shared" si="1"/>
        <v>0.90670803556312685</v>
      </c>
      <c r="K50" s="62">
        <f t="shared" si="1"/>
        <v>0.90372155195048476</v>
      </c>
      <c r="L50" s="62"/>
      <c r="M50" s="62">
        <f t="shared" ref="M50" si="9">M24/M23</f>
        <v>0.90372155195048476</v>
      </c>
      <c r="N50" s="62">
        <f t="shared" si="3"/>
        <v>0.9065855552077291</v>
      </c>
      <c r="O50" s="62">
        <f t="shared" si="3"/>
        <v>0.90955578006264415</v>
      </c>
      <c r="P50" s="62"/>
      <c r="Q50" s="62">
        <f t="shared" si="3"/>
        <v>0.92103936022585131</v>
      </c>
      <c r="R50" s="62">
        <f t="shared" ref="R50" si="10">R24/R23</f>
        <v>0.90670794887707318</v>
      </c>
      <c r="S50" s="62"/>
      <c r="T50" s="62"/>
      <c r="U50" s="62"/>
      <c r="V50" s="62"/>
      <c r="W50" s="45"/>
    </row>
    <row r="51" spans="1:23">
      <c r="A51" s="45"/>
      <c r="C51" s="11" t="s">
        <v>102</v>
      </c>
      <c r="D51" s="62">
        <f t="shared" si="0"/>
        <v>0.92087349115127615</v>
      </c>
      <c r="E51" s="62">
        <f t="shared" si="0"/>
        <v>0.91733370695507477</v>
      </c>
      <c r="F51" s="62">
        <f t="shared" si="0"/>
        <v>0.91498840150179761</v>
      </c>
      <c r="G51" s="62">
        <f t="shared" si="0"/>
        <v>0.91260869487068064</v>
      </c>
      <c r="H51" s="64"/>
      <c r="I51" s="62">
        <f t="shared" si="1"/>
        <v>0.91498840150179761</v>
      </c>
      <c r="J51" s="62">
        <f t="shared" si="1"/>
        <v>0.9067488514940617</v>
      </c>
      <c r="K51" s="62">
        <f t="shared" si="1"/>
        <v>0.90376615726122156</v>
      </c>
      <c r="L51" s="62"/>
      <c r="M51" s="62">
        <f t="shared" ref="M51" si="11">M25/M24</f>
        <v>0.90376615726122156</v>
      </c>
      <c r="N51" s="62">
        <f t="shared" si="3"/>
        <v>0.90664144651794076</v>
      </c>
      <c r="O51" s="62">
        <f t="shared" si="3"/>
        <v>0.90960882003526145</v>
      </c>
      <c r="P51" s="62"/>
      <c r="Q51" s="62">
        <f t="shared" si="3"/>
        <v>0.92106755412581909</v>
      </c>
      <c r="R51" s="62">
        <f t="shared" ref="R51" si="12">R25/R24</f>
        <v>0.90674889038139328</v>
      </c>
      <c r="S51" s="62"/>
      <c r="T51" s="62"/>
      <c r="U51" s="62"/>
      <c r="V51" s="62"/>
      <c r="W51" s="45"/>
    </row>
    <row r="52" spans="1:23">
      <c r="A52" s="45"/>
      <c r="C52" s="11" t="s">
        <v>103</v>
      </c>
      <c r="D52" s="62">
        <f t="shared" si="0"/>
        <v>0.92091041591711531</v>
      </c>
      <c r="E52" s="62">
        <f t="shared" si="0"/>
        <v>0.91737420794779179</v>
      </c>
      <c r="F52" s="62">
        <f t="shared" si="0"/>
        <v>0.91503090701203138</v>
      </c>
      <c r="G52" s="62">
        <f t="shared" si="0"/>
        <v>0.91265214126342065</v>
      </c>
      <c r="H52" s="64"/>
      <c r="I52" s="62">
        <f t="shared" si="1"/>
        <v>0.91503090701203138</v>
      </c>
      <c r="J52" s="62">
        <f t="shared" si="1"/>
        <v>0.90679043529120207</v>
      </c>
      <c r="K52" s="62">
        <f t="shared" si="1"/>
        <v>0.90381165318626799</v>
      </c>
      <c r="L52" s="62"/>
      <c r="M52" s="62">
        <f t="shared" ref="M52" si="13">M26/M25</f>
        <v>0.90381165318626799</v>
      </c>
      <c r="N52" s="62">
        <f t="shared" si="3"/>
        <v>0.90669829924865863</v>
      </c>
      <c r="O52" s="62">
        <f t="shared" si="3"/>
        <v>0.90966288381667104</v>
      </c>
      <c r="P52" s="62"/>
      <c r="Q52" s="62">
        <f t="shared" si="3"/>
        <v>0.92109608746033345</v>
      </c>
      <c r="R52" s="62">
        <f t="shared" ref="R52" si="14">R26/R25</f>
        <v>0.90679043037731411</v>
      </c>
      <c r="S52" s="62"/>
      <c r="T52" s="62"/>
      <c r="U52" s="62"/>
      <c r="V52" s="62"/>
      <c r="W52" s="45"/>
    </row>
    <row r="53" spans="1:23">
      <c r="A53" s="45"/>
      <c r="C53" s="2" t="s">
        <v>108</v>
      </c>
      <c r="D53" s="62">
        <f>SUM(D47:D52)/6</f>
        <v>0.92081915938212855</v>
      </c>
      <c r="E53" s="62">
        <f>SUM(E47:E52)/6</f>
        <v>0.91727442471669962</v>
      </c>
      <c r="F53" s="62">
        <f>SUM(F47:F52)/6</f>
        <v>0.91492627800732595</v>
      </c>
      <c r="G53" s="62">
        <f>SUM(G47:G52)/6</f>
        <v>0.91254529403106277</v>
      </c>
      <c r="H53" s="64"/>
      <c r="I53" s="62">
        <f>SUM(I47:I52)/6</f>
        <v>0.91492627800732595</v>
      </c>
      <c r="J53" s="62">
        <f>SUM(J47:J52)/6</f>
        <v>0.90668872113077326</v>
      </c>
      <c r="K53" s="62">
        <f>SUM(K47:K52)/6</f>
        <v>0.90370064612709422</v>
      </c>
      <c r="L53" s="62"/>
      <c r="M53" s="62">
        <f>SUM(M47:M52)/6</f>
        <v>0.90370064612709422</v>
      </c>
      <c r="N53" s="62">
        <f>SUM(N47:N52)/6</f>
        <v>0.90655960749254605</v>
      </c>
      <c r="O53" s="62">
        <f>SUM(O47:O52)/6</f>
        <v>0.90953111894158634</v>
      </c>
      <c r="P53" s="62"/>
      <c r="Q53" s="62">
        <f>SUM(Q47:Q52)/6</f>
        <v>0.9210258901845495</v>
      </c>
      <c r="R53" s="62">
        <f>SUM(R47:R52)/6</f>
        <v>0.90668872210684759</v>
      </c>
      <c r="S53" s="62"/>
      <c r="T53" s="62"/>
      <c r="U53" s="62"/>
      <c r="V53" s="62"/>
      <c r="W53" s="45"/>
    </row>
    <row r="67" spans="3:3">
      <c r="C67" s="18"/>
    </row>
    <row r="68" spans="3:3">
      <c r="C68" s="18"/>
    </row>
    <row r="69" spans="3:3">
      <c r="C69" s="18"/>
    </row>
    <row r="70" spans="3:3">
      <c r="C70" s="18"/>
    </row>
  </sheetData>
  <pageMargins left="0.78749999999999998" right="0.78749999999999998" top="1.0249999999999999" bottom="1.0249999999999999" header="0.78749999999999998" footer="0.78749999999999998"/>
  <pageSetup paperSize="9" orientation="portrait" useFirstPageNumber="1" horizontalDpi="300" verticalDpi="300" r:id="rId1"/>
  <headerFooter>
    <oddHeader>&amp;C&amp;A</oddHeader>
    <oddFooter>&amp;CPágina &amp;P</oddFoot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W54"/>
  <sheetViews>
    <sheetView topLeftCell="A20" zoomScale="95" zoomScaleNormal="95" workbookViewId="0">
      <selection activeCell="C53" sqref="C53"/>
    </sheetView>
  </sheetViews>
  <sheetFormatPr defaultColWidth="11.5703125" defaultRowHeight="12.75"/>
  <cols>
    <col min="1" max="1" width="6.5703125" customWidth="1"/>
    <col min="2" max="2" width="30.7109375" customWidth="1"/>
    <col min="3" max="3" width="5.28515625" customWidth="1"/>
    <col min="4" max="4" width="14.85546875" customWidth="1"/>
    <col min="5" max="5" width="14.140625" customWidth="1"/>
    <col min="6" max="6" width="13.7109375" customWidth="1"/>
    <col min="7" max="7" width="14.42578125" customWidth="1"/>
    <col min="8" max="8" width="2" customWidth="1"/>
    <col min="9" max="9" width="14.42578125" customWidth="1"/>
    <col min="10" max="10" width="14.140625" customWidth="1"/>
    <col min="11" max="11" width="14" customWidth="1"/>
    <col min="12" max="12" width="13.7109375" customWidth="1"/>
    <col min="13" max="13" width="2" customWidth="1"/>
    <col min="14" max="15" width="14" customWidth="1"/>
    <col min="16" max="16" width="14.28515625" customWidth="1"/>
    <col min="17" max="17" width="13.5703125" customWidth="1"/>
    <col min="18" max="18" width="2" customWidth="1"/>
    <col min="19" max="19" width="13" customWidth="1"/>
    <col min="20" max="20" width="14" customWidth="1"/>
    <col min="21" max="22" width="13.5703125" customWidth="1"/>
  </cols>
  <sheetData>
    <row r="2" spans="1:22">
      <c r="A2" s="19"/>
      <c r="B2" s="20" t="s">
        <v>39</v>
      </c>
      <c r="C2" s="20"/>
      <c r="D2" s="8" t="s">
        <v>40</v>
      </c>
      <c r="E2" s="8" t="s">
        <v>40</v>
      </c>
      <c r="F2" s="8" t="s">
        <v>40</v>
      </c>
      <c r="G2" s="8" t="s">
        <v>40</v>
      </c>
      <c r="H2" s="2"/>
      <c r="I2" s="8" t="s">
        <v>41</v>
      </c>
      <c r="J2" s="8" t="s">
        <v>41</v>
      </c>
      <c r="K2" s="8" t="s">
        <v>41</v>
      </c>
      <c r="L2" s="8" t="s">
        <v>41</v>
      </c>
      <c r="N2" s="9" t="s">
        <v>42</v>
      </c>
      <c r="O2" s="9" t="s">
        <v>42</v>
      </c>
      <c r="P2" s="9" t="s">
        <v>42</v>
      </c>
      <c r="Q2" s="9" t="s">
        <v>42</v>
      </c>
      <c r="S2" s="8" t="s">
        <v>43</v>
      </c>
      <c r="T2" s="8" t="s">
        <v>43</v>
      </c>
      <c r="U2" s="8" t="s">
        <v>43</v>
      </c>
      <c r="V2" s="8" t="s">
        <v>43</v>
      </c>
    </row>
    <row r="3" spans="1:22">
      <c r="A3" s="21" t="s">
        <v>44</v>
      </c>
      <c r="B3" s="20" t="s">
        <v>45</v>
      </c>
      <c r="C3" s="20"/>
      <c r="D3">
        <f>20*101325</f>
        <v>2026500</v>
      </c>
      <c r="E3">
        <f>20*101325</f>
        <v>2026500</v>
      </c>
      <c r="F3">
        <f>20*101325</f>
        <v>2026500</v>
      </c>
      <c r="G3">
        <f>20*101325</f>
        <v>2026500</v>
      </c>
      <c r="I3">
        <f>20*101325</f>
        <v>2026500</v>
      </c>
      <c r="J3">
        <f>20*101325</f>
        <v>2026500</v>
      </c>
      <c r="K3">
        <f>20*101325</f>
        <v>2026500</v>
      </c>
      <c r="L3">
        <f>20*101325</f>
        <v>2026500</v>
      </c>
      <c r="N3">
        <f>20*101325</f>
        <v>2026500</v>
      </c>
      <c r="O3">
        <f>20*101325</f>
        <v>2026500</v>
      </c>
      <c r="P3">
        <f>20*101325</f>
        <v>2026500</v>
      </c>
      <c r="Q3">
        <f>20*101325</f>
        <v>2026500</v>
      </c>
      <c r="S3">
        <f>20*101325</f>
        <v>2026500</v>
      </c>
      <c r="T3">
        <f>20*101325</f>
        <v>2026500</v>
      </c>
      <c r="U3">
        <f>20*101325</f>
        <v>2026500</v>
      </c>
      <c r="V3">
        <f>20*101325</f>
        <v>2026500</v>
      </c>
    </row>
    <row r="4" spans="1:22">
      <c r="A4" s="21" t="s">
        <v>46</v>
      </c>
      <c r="B4" s="20" t="s">
        <v>47</v>
      </c>
      <c r="C4" s="20"/>
      <c r="D4">
        <v>10</v>
      </c>
      <c r="E4">
        <v>10</v>
      </c>
      <c r="F4">
        <v>10</v>
      </c>
      <c r="G4">
        <v>10</v>
      </c>
      <c r="I4">
        <v>10</v>
      </c>
      <c r="J4">
        <v>10</v>
      </c>
      <c r="K4">
        <v>10</v>
      </c>
      <c r="L4">
        <v>10</v>
      </c>
      <c r="N4">
        <v>10</v>
      </c>
      <c r="O4">
        <v>10</v>
      </c>
      <c r="P4">
        <v>10</v>
      </c>
      <c r="Q4">
        <v>10</v>
      </c>
      <c r="S4">
        <v>10</v>
      </c>
      <c r="T4">
        <v>10</v>
      </c>
      <c r="U4">
        <v>10</v>
      </c>
      <c r="V4">
        <v>10</v>
      </c>
    </row>
    <row r="5" spans="1:22">
      <c r="A5" s="21" t="s">
        <v>46</v>
      </c>
    </row>
    <row r="6" spans="1:22">
      <c r="A6" s="21" t="s">
        <v>48</v>
      </c>
      <c r="B6" s="22" t="s">
        <v>49</v>
      </c>
      <c r="C6" s="22"/>
    </row>
    <row r="7" spans="1:22" ht="15.75">
      <c r="A7" s="21"/>
      <c r="B7" s="20" t="s">
        <v>50</v>
      </c>
      <c r="C7" s="20"/>
      <c r="D7">
        <v>2</v>
      </c>
      <c r="E7">
        <v>2</v>
      </c>
      <c r="F7">
        <v>2</v>
      </c>
      <c r="G7">
        <v>2</v>
      </c>
      <c r="I7">
        <v>2</v>
      </c>
      <c r="J7">
        <v>2</v>
      </c>
      <c r="K7">
        <v>2</v>
      </c>
      <c r="L7">
        <v>2</v>
      </c>
      <c r="N7">
        <v>2</v>
      </c>
      <c r="O7">
        <v>2</v>
      </c>
      <c r="P7">
        <v>2</v>
      </c>
      <c r="Q7">
        <v>2</v>
      </c>
      <c r="S7">
        <v>2</v>
      </c>
      <c r="T7">
        <v>2</v>
      </c>
      <c r="U7">
        <v>2</v>
      </c>
      <c r="V7">
        <v>2</v>
      </c>
    </row>
    <row r="8" spans="1:22" ht="15.75">
      <c r="A8" s="23" t="s">
        <v>51</v>
      </c>
      <c r="B8" s="20" t="s">
        <v>6</v>
      </c>
      <c r="C8" s="20"/>
      <c r="D8">
        <f>D7/(1+D7)</f>
        <v>0.66666666666666663</v>
      </c>
      <c r="E8">
        <f>E7/(1+E7)</f>
        <v>0.66666666666666663</v>
      </c>
      <c r="F8">
        <f>F7/(1+F7)</f>
        <v>0.66666666666666663</v>
      </c>
      <c r="G8">
        <f>G7/(1+G7)</f>
        <v>0.66666666666666663</v>
      </c>
      <c r="I8">
        <f>I7/(1+I7)</f>
        <v>0.66666666666666663</v>
      </c>
      <c r="J8">
        <f>J7/(1+J7)</f>
        <v>0.66666666666666663</v>
      </c>
      <c r="K8">
        <f>K7/(1+K7)</f>
        <v>0.66666666666666663</v>
      </c>
      <c r="L8">
        <f>L7/(1+L7)</f>
        <v>0.66666666666666663</v>
      </c>
      <c r="N8">
        <f>N7/(1+N7)</f>
        <v>0.66666666666666663</v>
      </c>
      <c r="O8">
        <f>O7/(1+O7)</f>
        <v>0.66666666666666663</v>
      </c>
      <c r="P8">
        <f>P7/(1+P7)</f>
        <v>0.66666666666666663</v>
      </c>
      <c r="Q8">
        <f>Q7/(1+Q7)</f>
        <v>0.66666666666666663</v>
      </c>
      <c r="S8">
        <f>S7/(1+S7)</f>
        <v>0.66666666666666663</v>
      </c>
      <c r="T8">
        <f>T7/(1+T7)</f>
        <v>0.66666666666666663</v>
      </c>
      <c r="U8">
        <f>U7/(1+U7)</f>
        <v>0.66666666666666663</v>
      </c>
      <c r="V8">
        <f>V7/(1+V7)</f>
        <v>0.66666666666666663</v>
      </c>
    </row>
    <row r="9" spans="1:22">
      <c r="A9" s="24"/>
      <c r="B9" s="20" t="s">
        <v>7</v>
      </c>
      <c r="C9" s="20"/>
      <c r="D9">
        <f>1/(1+D7)</f>
        <v>0.33333333333333331</v>
      </c>
      <c r="E9">
        <f>1/(1+E7)</f>
        <v>0.33333333333333331</v>
      </c>
      <c r="F9">
        <f>1/(1+F7)</f>
        <v>0.33333333333333331</v>
      </c>
      <c r="G9">
        <f>1/(1+G7)</f>
        <v>0.33333333333333331</v>
      </c>
      <c r="I9">
        <f>1/(1+I7)</f>
        <v>0.33333333333333331</v>
      </c>
      <c r="J9">
        <f>1/(1+J7)</f>
        <v>0.33333333333333331</v>
      </c>
      <c r="K9">
        <f>1/(1+K7)</f>
        <v>0.33333333333333331</v>
      </c>
      <c r="L9">
        <f>1/(1+L7)</f>
        <v>0.33333333333333331</v>
      </c>
      <c r="N9">
        <f>1/(1+N7)</f>
        <v>0.33333333333333331</v>
      </c>
      <c r="O9">
        <f>1/(1+O7)</f>
        <v>0.33333333333333331</v>
      </c>
      <c r="P9">
        <f>1/(1+P7)</f>
        <v>0.33333333333333331</v>
      </c>
      <c r="Q9">
        <f>1/(1+Q7)</f>
        <v>0.33333333333333331</v>
      </c>
      <c r="S9">
        <f>1/(1+S7)</f>
        <v>0.33333333333333331</v>
      </c>
      <c r="T9">
        <f>1/(1+T7)</f>
        <v>0.33333333333333331</v>
      </c>
      <c r="U9">
        <f>1/(1+U7)</f>
        <v>0.33333333333333331</v>
      </c>
      <c r="V9">
        <f>1/(1+V7)</f>
        <v>0.33333333333333331</v>
      </c>
    </row>
    <row r="10" spans="1:22" ht="15.75">
      <c r="B10" s="20" t="s">
        <v>52</v>
      </c>
      <c r="D10">
        <f>D4*D9</f>
        <v>3.333333333333333</v>
      </c>
      <c r="E10">
        <f>E4*E9</f>
        <v>3.333333333333333</v>
      </c>
      <c r="F10">
        <f>F4*F9</f>
        <v>3.333333333333333</v>
      </c>
      <c r="G10">
        <f>G4*G9</f>
        <v>3.333333333333333</v>
      </c>
      <c r="H10" s="2"/>
      <c r="I10">
        <f>I4*I9</f>
        <v>3.333333333333333</v>
      </c>
      <c r="J10">
        <f>J4*J9</f>
        <v>3.333333333333333</v>
      </c>
      <c r="K10">
        <f>K4*K9</f>
        <v>3.333333333333333</v>
      </c>
      <c r="L10">
        <f>L4*L9</f>
        <v>3.333333333333333</v>
      </c>
      <c r="N10">
        <f>N4*N9</f>
        <v>3.333333333333333</v>
      </c>
      <c r="O10">
        <f>O4*O9</f>
        <v>3.333333333333333</v>
      </c>
      <c r="P10">
        <f>P4*P9</f>
        <v>3.333333333333333</v>
      </c>
      <c r="Q10">
        <f>Q4*Q9</f>
        <v>3.333333333333333</v>
      </c>
      <c r="S10">
        <f>S4*S9</f>
        <v>3.333333333333333</v>
      </c>
      <c r="T10">
        <f>T4*T9</f>
        <v>3.333333333333333</v>
      </c>
      <c r="U10">
        <f>U4*U9</f>
        <v>3.333333333333333</v>
      </c>
      <c r="V10">
        <f>V4*V9</f>
        <v>3.333333333333333</v>
      </c>
    </row>
    <row r="11" spans="1:22">
      <c r="E11" s="2"/>
      <c r="F11" s="2"/>
      <c r="G11" s="2"/>
      <c r="H11" s="2"/>
      <c r="I11" s="2"/>
      <c r="J11" s="2"/>
      <c r="K11" s="2"/>
      <c r="L11" s="2"/>
      <c r="N11" s="2"/>
      <c r="O11" s="2"/>
      <c r="P11" s="2"/>
      <c r="Q11" s="2"/>
      <c r="S11" s="2"/>
      <c r="T11" s="2"/>
      <c r="U11" s="2"/>
      <c r="V11" s="2"/>
    </row>
    <row r="12" spans="1:22">
      <c r="B12" s="20" t="s">
        <v>9</v>
      </c>
      <c r="C12" s="20"/>
      <c r="D12" s="8" t="s">
        <v>10</v>
      </c>
      <c r="E12" s="8" t="s">
        <v>11</v>
      </c>
      <c r="F12" s="8" t="s">
        <v>12</v>
      </c>
      <c r="G12" s="8" t="s">
        <v>13</v>
      </c>
      <c r="H12" s="2"/>
      <c r="I12" s="8" t="s">
        <v>10</v>
      </c>
      <c r="J12" s="8" t="s">
        <v>11</v>
      </c>
      <c r="K12" s="8" t="s">
        <v>12</v>
      </c>
      <c r="L12" s="8" t="s">
        <v>13</v>
      </c>
      <c r="N12" s="8" t="s">
        <v>10</v>
      </c>
      <c r="O12" s="9" t="s">
        <v>11</v>
      </c>
      <c r="P12" s="8" t="s">
        <v>12</v>
      </c>
      <c r="Q12" s="8" t="s">
        <v>13</v>
      </c>
      <c r="S12" s="8" t="s">
        <v>10</v>
      </c>
      <c r="T12" s="8" t="s">
        <v>11</v>
      </c>
      <c r="U12" s="8" t="s">
        <v>12</v>
      </c>
      <c r="V12" s="8" t="s">
        <v>13</v>
      </c>
    </row>
    <row r="13" spans="1:22">
      <c r="E13" s="2"/>
      <c r="F13" s="2"/>
      <c r="G13" s="2"/>
      <c r="H13" s="2"/>
      <c r="I13" s="2"/>
      <c r="J13" s="2"/>
      <c r="K13" s="2"/>
      <c r="L13" s="2"/>
      <c r="N13" s="2"/>
      <c r="O13" s="2"/>
      <c r="P13" s="2"/>
      <c r="Q13" s="2"/>
      <c r="S13" s="2"/>
      <c r="T13" s="2"/>
      <c r="U13" s="2"/>
      <c r="V13" s="2"/>
    </row>
    <row r="14" spans="1:22">
      <c r="A14" s="19"/>
      <c r="B14" s="22" t="s">
        <v>53</v>
      </c>
      <c r="C14" s="22"/>
      <c r="D14" s="8"/>
      <c r="E14" s="8"/>
      <c r="F14" s="8"/>
      <c r="G14" s="8"/>
      <c r="H14" s="2"/>
      <c r="I14" s="8"/>
      <c r="J14" s="8"/>
      <c r="K14" s="8"/>
      <c r="L14" s="8"/>
      <c r="N14" s="8"/>
      <c r="O14" s="8"/>
      <c r="P14" s="8"/>
      <c r="Q14" s="8"/>
      <c r="S14" s="8"/>
      <c r="T14" s="8"/>
      <c r="U14" s="8"/>
      <c r="V14" s="8"/>
    </row>
    <row r="15" spans="1:22" ht="15.75">
      <c r="A15" s="21" t="s">
        <v>54</v>
      </c>
      <c r="B15" s="20" t="s">
        <v>55</v>
      </c>
      <c r="C15" s="20"/>
      <c r="D15" s="25">
        <v>3.2536786000000002</v>
      </c>
      <c r="E15" s="25">
        <v>0.32878658999999999</v>
      </c>
      <c r="F15" s="25">
        <v>0.32689861999999997</v>
      </c>
      <c r="G15" s="25">
        <v>0.32398871000000001</v>
      </c>
      <c r="H15" s="25"/>
      <c r="I15" s="25">
        <v>2.8024821000000002</v>
      </c>
      <c r="J15" s="25">
        <v>2.4520488999999999</v>
      </c>
      <c r="K15" s="25">
        <v>2.1059190000000001</v>
      </c>
      <c r="L15" s="25">
        <v>1.5997322</v>
      </c>
      <c r="M15" s="26"/>
      <c r="N15" s="25">
        <v>0.81177986000000002</v>
      </c>
      <c r="O15" s="25">
        <v>0.12251455</v>
      </c>
      <c r="P15" s="25">
        <v>0.11742951</v>
      </c>
      <c r="Q15" s="25">
        <v>0.11218478</v>
      </c>
      <c r="R15" s="26"/>
      <c r="S15" s="25">
        <v>0.11724587</v>
      </c>
      <c r="T15" s="25">
        <v>0.1040745</v>
      </c>
      <c r="U15" s="25">
        <v>9.0534444000000006E-2</v>
      </c>
      <c r="V15" s="25">
        <v>6.9664852999999999E-2</v>
      </c>
    </row>
    <row r="16" spans="1:22" ht="15.75">
      <c r="A16" s="21"/>
      <c r="B16" s="20" t="s">
        <v>56</v>
      </c>
      <c r="C16" s="20"/>
      <c r="D16" s="25">
        <v>6.5017253000000004</v>
      </c>
      <c r="E16" s="25">
        <v>0.65660489</v>
      </c>
      <c r="F16" s="25">
        <v>0.65242469999999997</v>
      </c>
      <c r="G16" s="25">
        <v>0.64598438999999996</v>
      </c>
      <c r="H16" s="25"/>
      <c r="I16" s="25">
        <v>5.5656435999999996</v>
      </c>
      <c r="J16" s="25">
        <v>4.8388537999999999</v>
      </c>
      <c r="K16" s="25">
        <v>4.1214044000000003</v>
      </c>
      <c r="L16" s="25">
        <v>3.0732024999999998</v>
      </c>
      <c r="M16" s="26"/>
      <c r="N16" s="25">
        <v>1.4309881</v>
      </c>
      <c r="O16" s="25">
        <v>4.2401805000000002E-3</v>
      </c>
      <c r="P16" s="25">
        <v>0</v>
      </c>
      <c r="Q16" s="25">
        <v>2.5570778999999998E-5</v>
      </c>
      <c r="R16" s="26"/>
      <c r="S16" s="25">
        <v>1.6410511000000002E-5</v>
      </c>
      <c r="T16" s="25">
        <v>2.4369746000000001E-5</v>
      </c>
      <c r="U16" s="25">
        <v>2.9793958000000001E-5</v>
      </c>
      <c r="V16" s="25">
        <v>0</v>
      </c>
    </row>
    <row r="17" spans="1:22" ht="15.75">
      <c r="A17" s="21" t="s">
        <v>57</v>
      </c>
      <c r="B17" s="20" t="s">
        <v>58</v>
      </c>
      <c r="C17" s="20"/>
      <c r="D17" s="25">
        <v>7.9631071999999997E-2</v>
      </c>
      <c r="E17" s="25">
        <v>1.3626668999999999E-2</v>
      </c>
      <c r="F17" s="25">
        <v>1.9277180000000001E-2</v>
      </c>
      <c r="G17" s="25">
        <v>2.7977695E-2</v>
      </c>
      <c r="H17" s="25"/>
      <c r="I17" s="25">
        <v>0.53041837999999997</v>
      </c>
      <c r="J17" s="25">
        <v>0.88005966999999996</v>
      </c>
      <c r="K17" s="25">
        <v>1.2249767</v>
      </c>
      <c r="L17" s="25">
        <v>1.728558</v>
      </c>
      <c r="M17" s="26"/>
      <c r="N17" s="25">
        <v>2.5164092999999998</v>
      </c>
      <c r="O17" s="25">
        <v>3.2015120000000001</v>
      </c>
      <c r="P17" s="25">
        <v>3.2044473</v>
      </c>
      <c r="Q17" s="25">
        <v>3.2065876000000002</v>
      </c>
      <c r="R17" s="26"/>
      <c r="S17" s="25">
        <v>3.2073708999999999</v>
      </c>
      <c r="T17" s="25">
        <v>3.2165412</v>
      </c>
      <c r="U17" s="25">
        <v>3.2266444000000001</v>
      </c>
      <c r="V17" s="25">
        <v>3.2437676999999998</v>
      </c>
    </row>
    <row r="18" spans="1:22" ht="15.75">
      <c r="A18" s="21"/>
      <c r="B18" s="20" t="s">
        <v>59</v>
      </c>
      <c r="C18" s="20"/>
      <c r="D18" s="25">
        <v>1.1834779999999999E-5</v>
      </c>
      <c r="E18" s="25">
        <v>3.3877517000000001E-6</v>
      </c>
      <c r="F18" s="25">
        <v>6.7341601000000004E-6</v>
      </c>
      <c r="G18" s="25">
        <v>1.4038709E-5</v>
      </c>
      <c r="H18" s="25"/>
      <c r="I18" s="25">
        <v>2.1642284999999999E-4</v>
      </c>
      <c r="J18" s="25">
        <v>6.1235471000000005E-4</v>
      </c>
      <c r="K18" s="25">
        <v>1.218787E-3</v>
      </c>
      <c r="L18" s="25">
        <v>2.5215419999999999E-3</v>
      </c>
      <c r="M18" s="26"/>
      <c r="N18" s="25">
        <v>2.5720474999999998E-3</v>
      </c>
      <c r="O18" s="25">
        <v>4.6533766000000001E-3</v>
      </c>
      <c r="P18" s="25">
        <v>5.7282291999999997E-3</v>
      </c>
      <c r="Q18" s="25">
        <v>7.2804795E-3</v>
      </c>
      <c r="R18" s="26"/>
      <c r="S18" s="25">
        <v>4.3582482000000004E-3</v>
      </c>
      <c r="T18" s="25">
        <v>6.3588014999999996E-3</v>
      </c>
      <c r="U18" s="25">
        <v>8.0772275000000008E-3</v>
      </c>
      <c r="V18" s="25">
        <v>9.9503674E-3</v>
      </c>
    </row>
    <row r="19" spans="1:22">
      <c r="A19" s="21" t="s">
        <v>60</v>
      </c>
      <c r="D19" s="25"/>
      <c r="E19" s="25"/>
      <c r="F19" s="25"/>
      <c r="G19" s="25"/>
      <c r="H19" s="25"/>
      <c r="I19" s="25"/>
      <c r="J19" s="25"/>
      <c r="K19" s="25"/>
      <c r="L19" s="25"/>
      <c r="M19" s="26"/>
      <c r="N19" s="25"/>
      <c r="O19" s="25"/>
      <c r="P19" s="25"/>
      <c r="Q19" s="25"/>
      <c r="R19" s="26"/>
      <c r="S19" s="25"/>
      <c r="T19" s="25"/>
      <c r="U19" s="25"/>
      <c r="V19" s="25"/>
    </row>
    <row r="20" spans="1:22" ht="15.75">
      <c r="A20" s="21"/>
      <c r="B20" s="20" t="s">
        <v>61</v>
      </c>
      <c r="C20" s="2">
        <v>5</v>
      </c>
      <c r="D20" s="25">
        <v>2.2909161000000001E-4</v>
      </c>
      <c r="E20" s="25">
        <v>4.2331389000000003E-5</v>
      </c>
      <c r="F20" s="25">
        <v>6.2996208999999996E-5</v>
      </c>
      <c r="G20" s="25">
        <v>9.6463452999999994E-5</v>
      </c>
      <c r="H20" s="25"/>
      <c r="I20" s="25">
        <v>2.3601640000000001E-3</v>
      </c>
      <c r="J20" s="25">
        <v>4.2109030000000002E-3</v>
      </c>
      <c r="K20" s="25">
        <v>6.1386443999999997E-3</v>
      </c>
      <c r="L20" s="25">
        <v>9.0675236000000003E-3</v>
      </c>
      <c r="M20" s="26"/>
      <c r="N20" s="25">
        <v>1.5490059E-2</v>
      </c>
      <c r="O20" s="25">
        <v>1.9638668000000001E-2</v>
      </c>
      <c r="P20" s="25">
        <v>1.9634922999999999E-2</v>
      </c>
      <c r="Q20" s="25">
        <v>1.9616729999999999E-2</v>
      </c>
      <c r="R20" s="26"/>
      <c r="S20" s="25">
        <v>2.1668514999999999E-2</v>
      </c>
      <c r="T20" s="25">
        <v>2.1604185000000001E-2</v>
      </c>
      <c r="U20" s="25">
        <v>2.1536799999999998E-2</v>
      </c>
      <c r="V20" s="25">
        <v>2.1432063000000001E-2</v>
      </c>
    </row>
    <row r="21" spans="1:22" ht="15.75">
      <c r="A21" s="21" t="s">
        <v>48</v>
      </c>
      <c r="B21" s="20" t="s">
        <v>62</v>
      </c>
      <c r="C21" s="2">
        <v>6</v>
      </c>
      <c r="D21" s="25">
        <v>2.1505828000000001E-4</v>
      </c>
      <c r="E21" s="25">
        <v>3.9619332000000003E-5</v>
      </c>
      <c r="F21" s="25">
        <v>5.8838824000000002E-5</v>
      </c>
      <c r="G21" s="25">
        <v>8.9894305000000005E-5</v>
      </c>
      <c r="H21" s="25"/>
      <c r="I21" s="25">
        <v>2.1730717000000002E-3</v>
      </c>
      <c r="J21" s="25">
        <v>3.8621394999999998E-3</v>
      </c>
      <c r="K21" s="25">
        <v>5.6157745999999998E-3</v>
      </c>
      <c r="L21" s="25">
        <v>8.2735732000000003E-3</v>
      </c>
      <c r="M21" s="26"/>
      <c r="N21" s="25">
        <v>1.3991852000000001E-2</v>
      </c>
      <c r="O21" s="25">
        <v>1.7744747000000002E-2</v>
      </c>
      <c r="P21" s="25">
        <v>1.7741963999999999E-2</v>
      </c>
      <c r="Q21" s="25">
        <v>1.7726287E-2</v>
      </c>
      <c r="R21" s="26"/>
      <c r="S21" s="25">
        <v>1.9439498E-2</v>
      </c>
      <c r="T21" s="25">
        <v>1.93843E-2</v>
      </c>
      <c r="U21" s="25">
        <v>1.9326576000000002E-2</v>
      </c>
      <c r="V21" s="25">
        <v>1.9237098000000001E-2</v>
      </c>
    </row>
    <row r="22" spans="1:22" ht="15.75">
      <c r="A22" s="21"/>
      <c r="B22" s="20" t="s">
        <v>63</v>
      </c>
      <c r="C22" s="2">
        <v>7</v>
      </c>
      <c r="D22" s="25">
        <v>2.0188851E-4</v>
      </c>
      <c r="E22" s="25">
        <v>3.7081873000000001E-5</v>
      </c>
      <c r="F22" s="25">
        <v>5.4957170999999997E-5</v>
      </c>
      <c r="G22" s="25">
        <v>8.3774787000000001E-5</v>
      </c>
      <c r="H22" s="25"/>
      <c r="I22" s="25">
        <v>2.0008876E-3</v>
      </c>
      <c r="J22" s="25">
        <v>3.5424116999999999E-3</v>
      </c>
      <c r="K22" s="25">
        <v>5.1376690999999997E-3</v>
      </c>
      <c r="L22" s="25">
        <v>7.5494828E-3</v>
      </c>
      <c r="M22" s="26"/>
      <c r="N22" s="25">
        <v>1.2639166E-2</v>
      </c>
      <c r="O22" s="25">
        <v>1.6034196000000001E-2</v>
      </c>
      <c r="P22" s="25">
        <v>1.6032252E-2</v>
      </c>
      <c r="Q22" s="25">
        <v>1.6018817000000001E-2</v>
      </c>
      <c r="R22" s="26"/>
      <c r="S22" s="25">
        <v>1.7440812E-2</v>
      </c>
      <c r="T22" s="25">
        <v>1.7393711999999999E-2</v>
      </c>
      <c r="U22" s="25">
        <v>1.7344551E-2</v>
      </c>
      <c r="V22" s="25">
        <v>1.7268584E-2</v>
      </c>
    </row>
    <row r="23" spans="1:22" ht="15.75">
      <c r="A23" s="21" t="s">
        <v>64</v>
      </c>
      <c r="B23" s="20" t="s">
        <v>65</v>
      </c>
      <c r="C23" s="2">
        <v>8</v>
      </c>
      <c r="D23" s="25">
        <v>1.8952893E-4</v>
      </c>
      <c r="E23" s="25">
        <v>3.4707723999999999E-5</v>
      </c>
      <c r="F23" s="25">
        <v>5.1332882000000002E-5</v>
      </c>
      <c r="G23" s="25">
        <v>7.8073985000000004E-5</v>
      </c>
      <c r="H23" s="25"/>
      <c r="I23" s="25">
        <v>1.8424184000000001E-3</v>
      </c>
      <c r="J23" s="25">
        <v>3.2492914999999998E-3</v>
      </c>
      <c r="K23" s="25">
        <v>4.7004784999999999E-3</v>
      </c>
      <c r="L23" s="25">
        <v>6.8890797E-3</v>
      </c>
      <c r="M23" s="26"/>
      <c r="N23" s="25">
        <v>1.1417816000000001E-2</v>
      </c>
      <c r="O23" s="25">
        <v>1.4489202E-2</v>
      </c>
      <c r="P23" s="25">
        <v>1.4487988E-2</v>
      </c>
      <c r="Q23" s="25">
        <v>1.4476548000000001E-2</v>
      </c>
      <c r="R23" s="26"/>
      <c r="S23" s="25">
        <v>1.5648573999999998E-2</v>
      </c>
      <c r="T23" s="25">
        <v>1.5608646E-2</v>
      </c>
      <c r="U23" s="25">
        <v>1.5567064E-2</v>
      </c>
      <c r="V23" s="25">
        <v>1.5503045E-2</v>
      </c>
    </row>
    <row r="24" spans="1:22" ht="15.75">
      <c r="A24" s="21"/>
      <c r="B24" s="20" t="s">
        <v>66</v>
      </c>
      <c r="C24" s="2">
        <v>9</v>
      </c>
      <c r="D24" s="25">
        <v>1.7792949999999999E-4</v>
      </c>
      <c r="E24" s="25">
        <v>3.2486329E-5</v>
      </c>
      <c r="F24" s="25">
        <v>4.7948816000000001E-5</v>
      </c>
      <c r="G24" s="25">
        <v>7.2763120999999999E-5</v>
      </c>
      <c r="H24" s="25"/>
      <c r="I24" s="25">
        <v>1.6965666E-3</v>
      </c>
      <c r="J24" s="25">
        <v>2.9805544E-3</v>
      </c>
      <c r="K24" s="25">
        <v>4.3006857999999997E-3</v>
      </c>
      <c r="L24" s="25">
        <v>6.2867382999999997E-3</v>
      </c>
      <c r="M24" s="26"/>
      <c r="N24" s="25">
        <v>1.0315003999999999E-2</v>
      </c>
      <c r="O24" s="25">
        <v>1.3093687999999999E-2</v>
      </c>
      <c r="P24" s="25">
        <v>1.3093107E-2</v>
      </c>
      <c r="Q24" s="25">
        <v>1.3083440999999999E-2</v>
      </c>
      <c r="R24" s="26"/>
      <c r="S24" s="25">
        <v>1.4041382E-2</v>
      </c>
      <c r="T24" s="25">
        <v>1.4007799E-2</v>
      </c>
      <c r="U24" s="25">
        <v>1.3972917E-2</v>
      </c>
      <c r="V24" s="25">
        <v>1.3919449E-2</v>
      </c>
    </row>
    <row r="25" spans="1:22" ht="15.75">
      <c r="A25" s="21" t="s">
        <v>60</v>
      </c>
      <c r="B25" s="20" t="s">
        <v>67</v>
      </c>
      <c r="C25" s="2">
        <v>10</v>
      </c>
      <c r="D25" s="25">
        <v>1.6704327E-4</v>
      </c>
      <c r="E25" s="25">
        <v>3.0407813999999999E-5</v>
      </c>
      <c r="F25" s="25">
        <v>4.4788978999999997E-5</v>
      </c>
      <c r="G25" s="25">
        <v>6.7815400000000001E-5</v>
      </c>
      <c r="H25" s="25"/>
      <c r="I25" s="25">
        <v>1.5623232000000001E-3</v>
      </c>
      <c r="J25" s="25">
        <v>2.734163E-3</v>
      </c>
      <c r="K25" s="25">
        <v>3.9350777000000002E-3</v>
      </c>
      <c r="L25" s="25">
        <v>5.7373320000000004E-3</v>
      </c>
      <c r="M25" s="26"/>
      <c r="N25" s="25">
        <v>9.3191841000000008E-3</v>
      </c>
      <c r="O25" s="25">
        <v>1.1833141E-2</v>
      </c>
      <c r="P25" s="25">
        <v>1.1833107000000001E-2</v>
      </c>
      <c r="Q25" s="25">
        <v>1.1825016000000001E-2</v>
      </c>
      <c r="R25" s="26"/>
      <c r="S25" s="25">
        <v>1.2600060999999999E-2</v>
      </c>
      <c r="T25" s="25">
        <v>1.2572083E-2</v>
      </c>
      <c r="U25" s="25">
        <v>1.2543116999999999E-2</v>
      </c>
      <c r="V25" s="25">
        <v>1.2498952000000001E-2</v>
      </c>
    </row>
    <row r="26" spans="1:22" ht="15.75">
      <c r="A26" s="21"/>
      <c r="B26" s="20" t="s">
        <v>68</v>
      </c>
      <c r="C26" s="2">
        <v>11</v>
      </c>
      <c r="D26" s="27">
        <v>1.5682620000000001E-4</v>
      </c>
      <c r="E26" s="27">
        <v>2.8462950000000002E-5</v>
      </c>
      <c r="F26" s="27">
        <v>4.1838446999999998E-5</v>
      </c>
      <c r="G26" s="27">
        <v>6.3205879E-5</v>
      </c>
      <c r="H26" s="25"/>
      <c r="I26" s="27">
        <v>1.4387597E-3</v>
      </c>
      <c r="J26" s="27">
        <v>2.5082505999999998E-3</v>
      </c>
      <c r="K26" s="27">
        <v>3.6007177E-3</v>
      </c>
      <c r="L26" s="27">
        <v>5.2361884000000003E-3</v>
      </c>
      <c r="M26" s="26"/>
      <c r="N26" s="27">
        <v>8.4199376999999995E-3</v>
      </c>
      <c r="O26" s="27">
        <v>1.0694463E-2</v>
      </c>
      <c r="P26" s="27">
        <v>1.06949E-2</v>
      </c>
      <c r="Q26" s="27">
        <v>1.0688204999999999E-2</v>
      </c>
      <c r="R26" s="26"/>
      <c r="S26" s="27">
        <v>1.1307429000000001E-2</v>
      </c>
      <c r="T26" s="27">
        <v>1.1284394999999999E-2</v>
      </c>
      <c r="U26" s="27">
        <v>1.1260643000000001E-2</v>
      </c>
      <c r="V26" s="27">
        <v>1.1224665999999999E-2</v>
      </c>
    </row>
    <row r="27" spans="1:22" ht="14.25">
      <c r="A27" s="21" t="s">
        <v>69</v>
      </c>
      <c r="B27" s="28" t="s">
        <v>70</v>
      </c>
      <c r="C27" s="20"/>
      <c r="D27" s="25">
        <f>SUM(D20:D26)</f>
        <v>1.3373662999999999E-3</v>
      </c>
      <c r="E27" s="25">
        <f>SUM(E20:E26)</f>
        <v>2.4509741100000004E-4</v>
      </c>
      <c r="F27" s="25">
        <f>SUM(F20:F26)</f>
        <v>3.6270132800000004E-4</v>
      </c>
      <c r="G27" s="25">
        <f>SUM(G20:G26)</f>
        <v>5.5199093E-4</v>
      </c>
      <c r="H27" s="25"/>
      <c r="I27" s="29">
        <f>SUM(I20:I26)</f>
        <v>1.30741912E-2</v>
      </c>
      <c r="J27" s="29">
        <f>SUM(J20:J26)</f>
        <v>2.3087713700000002E-2</v>
      </c>
      <c r="K27" s="29">
        <f>SUM(K20:K26)</f>
        <v>3.34290478E-2</v>
      </c>
      <c r="L27" s="29">
        <f>SUM(L20:L26)</f>
        <v>4.9039917999999995E-2</v>
      </c>
      <c r="M27" s="26"/>
      <c r="N27" s="25">
        <f>SUM(N20:N26)</f>
        <v>8.1593018800000014E-2</v>
      </c>
      <c r="O27" s="25">
        <f>SUM(O20:O26)</f>
        <v>0.10352810500000001</v>
      </c>
      <c r="P27" s="25">
        <f>SUM(P20:P26)</f>
        <v>0.10351824099999998</v>
      </c>
      <c r="Q27" s="25">
        <f>SUM(Q20:Q26)</f>
        <v>0.103435044</v>
      </c>
      <c r="R27" s="25"/>
      <c r="S27" s="25">
        <f>SUM(S20:S26)</f>
        <v>0.11214627099999999</v>
      </c>
      <c r="T27" s="25">
        <f>SUM(T20:T26)</f>
        <v>0.11185512</v>
      </c>
      <c r="U27" s="25">
        <f>SUM(U20:U26)</f>
        <v>0.11155166800000001</v>
      </c>
      <c r="V27" s="25">
        <f>SUM(V20:V26)</f>
        <v>0.11108385700000001</v>
      </c>
    </row>
    <row r="28" spans="1:22">
      <c r="A28" s="21"/>
      <c r="B28" s="20"/>
      <c r="C28" s="20"/>
      <c r="D28" s="25"/>
      <c r="E28" s="25"/>
      <c r="F28" s="25"/>
      <c r="G28" s="25"/>
      <c r="H28" s="25"/>
      <c r="I28" s="25"/>
      <c r="J28" s="25"/>
      <c r="K28" s="25"/>
      <c r="L28" s="25"/>
      <c r="M28" s="26"/>
      <c r="N28" s="25"/>
      <c r="O28" s="25"/>
      <c r="P28" s="25"/>
      <c r="Q28" s="25"/>
      <c r="R28" s="26"/>
      <c r="S28" s="25"/>
      <c r="T28" s="25"/>
      <c r="U28" s="25"/>
      <c r="V28" s="25"/>
    </row>
    <row r="29" spans="1:22" ht="15.75">
      <c r="A29" s="23" t="s">
        <v>71</v>
      </c>
      <c r="B29" s="20" t="s">
        <v>72</v>
      </c>
      <c r="C29" s="20"/>
      <c r="D29" s="25">
        <v>4.3300476000000003E-3</v>
      </c>
      <c r="E29" s="25">
        <v>7.3336880999999999E-4</v>
      </c>
      <c r="F29" s="25">
        <v>1.0300553000000001E-3</v>
      </c>
      <c r="G29" s="25">
        <v>1.4831718E-3</v>
      </c>
      <c r="H29" s="25"/>
      <c r="I29" s="25">
        <v>2.6895705999999998E-2</v>
      </c>
      <c r="J29" s="25">
        <v>4.3993505000000002E-2</v>
      </c>
      <c r="K29" s="25">
        <v>6.0660957000000001E-2</v>
      </c>
      <c r="L29" s="25">
        <v>8.4786837000000004E-2</v>
      </c>
      <c r="M29" s="26"/>
      <c r="N29" s="25">
        <v>0.11869482000000001</v>
      </c>
      <c r="O29" s="30">
        <v>0.15122105</v>
      </c>
      <c r="P29" s="30">
        <v>0.15147541</v>
      </c>
      <c r="Q29" s="30">
        <v>0.15174445</v>
      </c>
      <c r="R29" s="26"/>
      <c r="S29" s="25">
        <v>0.14767004</v>
      </c>
      <c r="T29" s="25">
        <v>0.14850179999999999</v>
      </c>
      <c r="U29" s="25">
        <v>0.14937971</v>
      </c>
      <c r="V29" s="25">
        <v>0.15078093000000001</v>
      </c>
    </row>
    <row r="30" spans="1:22">
      <c r="A30" s="31"/>
      <c r="B30" s="20"/>
      <c r="C30" s="20"/>
      <c r="D30" s="25"/>
      <c r="E30" s="25"/>
      <c r="F30" s="25"/>
      <c r="G30" s="25"/>
      <c r="H30" s="25"/>
      <c r="I30" s="25"/>
      <c r="J30" s="25"/>
      <c r="K30" s="25"/>
      <c r="L30" s="25"/>
      <c r="M30" s="26"/>
      <c r="N30" s="25"/>
      <c r="O30" s="25"/>
      <c r="P30" s="25"/>
      <c r="Q30" s="25"/>
      <c r="R30" s="26"/>
      <c r="S30" s="25"/>
      <c r="T30" s="25"/>
      <c r="U30" s="25"/>
      <c r="V30" s="25"/>
    </row>
    <row r="31" spans="1:22" ht="15.75">
      <c r="A31" s="32"/>
      <c r="B31" s="33" t="s">
        <v>73</v>
      </c>
      <c r="C31" s="33"/>
      <c r="D31" s="34">
        <f>SUM(D15:D18)+D27+D29</f>
        <v>9.8407142206800007</v>
      </c>
      <c r="E31" s="34">
        <f>SUM(E15:E18)+E27+E29</f>
        <v>1.0000000029726999</v>
      </c>
      <c r="F31" s="34">
        <f>SUM(F15:F18)+F27+F29</f>
        <v>0.99999999078809998</v>
      </c>
      <c r="G31" s="34">
        <f>SUM(G15:G18)+G27+G29</f>
        <v>0.99999999643900006</v>
      </c>
      <c r="H31" s="25"/>
      <c r="I31" s="34">
        <f>SUM(I15:I18)+I27+I29</f>
        <v>8.9387304000499999</v>
      </c>
      <c r="J31" s="34">
        <f>SUM(J15:J18)+J27+J29</f>
        <v>8.2386559434100004</v>
      </c>
      <c r="K31" s="34">
        <f>SUM(K15:K18)+K27+K29</f>
        <v>7.5476088918000004</v>
      </c>
      <c r="L31" s="34">
        <f>SUM(L15:L18)+L27+L29</f>
        <v>6.5378409970000009</v>
      </c>
      <c r="M31" s="26"/>
      <c r="N31" s="34">
        <f>SUM(N15:N18)+N27+N29</f>
        <v>4.9620371462999993</v>
      </c>
      <c r="O31" s="34">
        <f>SUM(O15:O18)+O27+O29</f>
        <v>3.5876692621000004</v>
      </c>
      <c r="P31" s="34">
        <f>SUM(P15:P18)+P27+P29</f>
        <v>3.5825986902000002</v>
      </c>
      <c r="Q31" s="34">
        <f>SUM(Q15:Q18)+Q27+Q29</f>
        <v>3.5812579242789999</v>
      </c>
      <c r="R31" s="26"/>
      <c r="S31" s="34">
        <f>SUM(S15:S18)+S27+S29</f>
        <v>3.5888077397109996</v>
      </c>
      <c r="T31" s="34">
        <f>SUM(T15:T18)+T27+T29</f>
        <v>3.5873557912459999</v>
      </c>
      <c r="U31" s="34">
        <f>SUM(U15:U18)+U27+U29</f>
        <v>3.586217243458</v>
      </c>
      <c r="V31" s="34">
        <f>SUM(V15:V18)+V27+V29</f>
        <v>3.5852477073999998</v>
      </c>
    </row>
    <row r="32" spans="1:22">
      <c r="A32" s="35"/>
      <c r="B32" s="33"/>
      <c r="C32" s="33"/>
      <c r="D32" s="34"/>
      <c r="E32" s="34"/>
      <c r="F32" s="34"/>
      <c r="G32" s="34"/>
      <c r="H32" s="25"/>
      <c r="I32" s="34"/>
      <c r="J32" s="34"/>
      <c r="K32" s="34"/>
      <c r="L32" s="34"/>
      <c r="M32" s="26"/>
      <c r="N32" s="34"/>
      <c r="O32" s="34"/>
      <c r="P32" s="34"/>
      <c r="Q32" s="34"/>
      <c r="R32" s="26"/>
      <c r="S32" s="34"/>
      <c r="T32" s="34"/>
      <c r="U32" s="34"/>
      <c r="V32" s="34"/>
    </row>
    <row r="33" spans="1:23">
      <c r="A33" s="1" t="s">
        <v>74</v>
      </c>
      <c r="B33" s="1"/>
      <c r="E33" s="36"/>
      <c r="F33" s="36"/>
      <c r="G33" s="36"/>
      <c r="H33" s="25"/>
      <c r="I33" s="36"/>
      <c r="J33" s="36"/>
      <c r="K33" s="36"/>
      <c r="L33" s="36"/>
      <c r="M33" s="26"/>
      <c r="N33" s="36"/>
      <c r="O33" s="36"/>
      <c r="P33" s="36"/>
      <c r="Q33" s="36"/>
      <c r="R33" s="26"/>
      <c r="S33" s="36"/>
      <c r="T33" s="36"/>
      <c r="U33" s="36"/>
      <c r="V33" s="36"/>
    </row>
    <row r="34" spans="1:23" ht="19.5">
      <c r="B34" s="37" t="s">
        <v>75</v>
      </c>
      <c r="D34" s="2">
        <f>(D4*D9 - D15)/(D4*D9)</f>
        <v>2.3896419999999852E-2</v>
      </c>
      <c r="E34" s="38">
        <f>(E4*E9 - E15)/(E4*E9)</f>
        <v>0.90136402299999996</v>
      </c>
      <c r="F34" s="38">
        <f>(F4*F9 - F15)/(F4*F9)</f>
        <v>0.90193041399999996</v>
      </c>
      <c r="G34" s="38">
        <f>(G4*G9 - G15)/(G4*G9)</f>
        <v>0.90280338699999996</v>
      </c>
      <c r="H34" s="25"/>
      <c r="I34" s="38">
        <f>(I4*I9 - I15)/(I4*I9)</f>
        <v>0.15925536999999987</v>
      </c>
      <c r="J34" s="38">
        <f>(J4*J9 - J15)/(J4*J9)</f>
        <v>0.26438532999999997</v>
      </c>
      <c r="K34" s="38">
        <f>(K4*K9 - K15)/(K4*K9)</f>
        <v>0.36822429999999989</v>
      </c>
      <c r="L34" s="38">
        <f>(L4*L9 - L15)/(L4*L9)</f>
        <v>0.52008033999999992</v>
      </c>
      <c r="M34" s="26"/>
      <c r="N34" s="38">
        <f>(N4*N9 - N15)/(N4*N9)</f>
        <v>0.75646604199999989</v>
      </c>
      <c r="O34" s="39">
        <f>(O4*O9 - O15)/(O4*O9)</f>
        <v>0.96324563500000004</v>
      </c>
      <c r="P34" s="40">
        <f>(P4*P9 - P15)/(P4*P9)</f>
        <v>0.964771147</v>
      </c>
      <c r="Q34" s="40">
        <f>(Q4*Q9 - Q15)/(Q4*Q9)</f>
        <v>0.96634456599999996</v>
      </c>
      <c r="R34" s="26"/>
      <c r="S34" s="38">
        <f>(S4*S9 - S15)/(S4*S9)</f>
        <v>0.96482623899999997</v>
      </c>
      <c r="T34" s="38">
        <f>(T4*T9 - T15)/(T4*T9)</f>
        <v>0.96877765000000005</v>
      </c>
      <c r="U34" s="38">
        <f>(U4*U9 - U15)/(U4*U9)</f>
        <v>0.97283966679999989</v>
      </c>
      <c r="V34" s="38">
        <f>(V4*V9 - V15)/(V4*V9)</f>
        <v>0.97910054410000003</v>
      </c>
    </row>
    <row r="35" spans="1:23">
      <c r="D35" s="36"/>
      <c r="E35" s="36"/>
      <c r="F35" s="36"/>
      <c r="G35" s="36"/>
      <c r="H35" s="25"/>
      <c r="I35" s="36"/>
      <c r="J35" s="36"/>
      <c r="K35" s="36"/>
      <c r="L35" s="36"/>
      <c r="M35" s="26"/>
      <c r="N35" s="36"/>
      <c r="O35" s="36"/>
      <c r="P35" s="36"/>
      <c r="Q35" s="36"/>
      <c r="R35" s="26"/>
      <c r="S35" s="36"/>
      <c r="T35" s="36"/>
      <c r="U35" s="36"/>
      <c r="V35" s="36"/>
    </row>
    <row r="36" spans="1:23" ht="15.75">
      <c r="B36" t="s">
        <v>76</v>
      </c>
      <c r="D36" s="36">
        <f>D29/D27</f>
        <v>3.2377424195599969</v>
      </c>
      <c r="E36" s="36">
        <f>E29/E27</f>
        <v>2.992152414045695</v>
      </c>
      <c r="F36" s="36">
        <f>F29/F27</f>
        <v>2.8399545865462064</v>
      </c>
      <c r="G36" s="36">
        <f>G29/G27</f>
        <v>2.6869495844795854</v>
      </c>
      <c r="H36" s="25"/>
      <c r="I36" s="36">
        <f>I29/I27</f>
        <v>2.0571602165340828</v>
      </c>
      <c r="J36" s="36">
        <f>J29/J27</f>
        <v>1.9054942196376941</v>
      </c>
      <c r="K36" s="36">
        <f>K29/K27</f>
        <v>1.8146181537363442</v>
      </c>
      <c r="L36" s="36">
        <f>L29/L27</f>
        <v>1.7289351299486271</v>
      </c>
      <c r="M36" s="26"/>
      <c r="N36" s="36">
        <f>N29/N27</f>
        <v>1.4547178391688578</v>
      </c>
      <c r="O36" s="36">
        <f>O29/O27</f>
        <v>1.4606763062068988</v>
      </c>
      <c r="P36" s="36">
        <f>P29/P27</f>
        <v>1.4632726419684821</v>
      </c>
      <c r="Q36" s="36">
        <f>Q29/Q27</f>
        <v>1.467050664183021</v>
      </c>
      <c r="R36" s="26"/>
      <c r="S36" s="36">
        <f>S29/S27</f>
        <v>1.3167628195145251</v>
      </c>
      <c r="T36" s="36">
        <f>T29/T27</f>
        <v>1.3276263080313175</v>
      </c>
      <c r="U36" s="36">
        <f>U29/U27</f>
        <v>1.3391078114582742</v>
      </c>
      <c r="V36" s="36">
        <f>V29/V27</f>
        <v>1.3573613130844024</v>
      </c>
    </row>
    <row r="37" spans="1:23">
      <c r="B37" t="s">
        <v>77</v>
      </c>
      <c r="D37" s="36"/>
      <c r="E37" s="36"/>
      <c r="F37" s="36"/>
      <c r="G37" s="36"/>
      <c r="H37" s="25"/>
      <c r="I37" s="36"/>
      <c r="J37" s="36"/>
      <c r="K37" s="36"/>
      <c r="L37" s="36"/>
      <c r="M37" s="26"/>
      <c r="N37" s="36"/>
      <c r="O37" s="36"/>
      <c r="P37" s="36"/>
      <c r="Q37" s="36"/>
      <c r="R37" s="26"/>
      <c r="S37" s="36"/>
      <c r="T37" s="36"/>
      <c r="U37" s="36"/>
      <c r="V37" s="36"/>
    </row>
    <row r="38" spans="1:23">
      <c r="C38" s="2" t="s">
        <v>78</v>
      </c>
      <c r="D38" s="36">
        <f>5*D20+6*D21+7*D22+8*D23+9*D24+10*D25+11*D26</f>
        <v>1.0362145140000001E-2</v>
      </c>
      <c r="E38" s="36">
        <f>5*E20+6*E21+7*E22+8*E23+9*E24+10*E25+11*E26</f>
        <v>1.8961553910000002E-3</v>
      </c>
      <c r="F38" s="36">
        <f>5*F20+6*F21+7*F22+8*F23+9*F24+10*F25+11*F26</f>
        <v>2.803029293E-3</v>
      </c>
      <c r="G38" s="36">
        <f>5*G20+6*G21+7*G22+8*G23+9*G24+10*G25+11*G26</f>
        <v>4.260985242E-3</v>
      </c>
      <c r="H38" s="25"/>
      <c r="I38" s="36">
        <f>5*I20+6*I21+7*I22+8*I23+9*I24+10*I25+11*I26</f>
        <v>0.10030349870000001</v>
      </c>
      <c r="J38" s="36">
        <f>5*J20+6*J21+7*J22+8*J23+9*J24+10*J25+11*J26</f>
        <v>0.17677594209999997</v>
      </c>
      <c r="K38" s="36">
        <f>5*K20+6*K21+7*K22+8*K23+9*K24+10*K25+11*K26</f>
        <v>0.2556202252</v>
      </c>
      <c r="L38" s="36">
        <f>5*L20+6*L21+7*L22+8*L23+9*L24+10*L25+11*L26</f>
        <v>0.3744901115</v>
      </c>
      <c r="M38" s="26"/>
      <c r="N38" s="36">
        <f>5*N20+6*N21+7*N22+8*N23+9*N24+10*N25+11*N26</f>
        <v>0.61986428869999999</v>
      </c>
      <c r="O38" s="36">
        <f>5*O20+6*O21+7*O22+8*O23+9*O24+10*O25+11*O26</f>
        <v>0.78662850500000003</v>
      </c>
      <c r="P38" s="36">
        <f>5*P20+6*P21+7*P22+8*P23+9*P24+10*P25+11*P26</f>
        <v>0.78656899999999996</v>
      </c>
      <c r="Q38" s="36">
        <f>5*Q20+6*Q21+7*Q22+8*Q23+9*Q24+10*Q25+11*Q26</f>
        <v>0.78595685900000001</v>
      </c>
      <c r="R38" s="26"/>
      <c r="S38" s="36">
        <f>5*S20+6*S21+7*S22+8*S23+9*S24+10*S25+11*S26</f>
        <v>0.84900860599999994</v>
      </c>
      <c r="T38" s="36">
        <f>5*T20+6*T21+7*T22+8*T23+9*T24+10*T25+11*T26</f>
        <v>0.84687124300000005</v>
      </c>
      <c r="U38" s="36">
        <f>5*U20+6*U21+7*U22+8*U23+9*U24+10*U25+11*U26</f>
        <v>0.84464632099999992</v>
      </c>
      <c r="V38" s="36">
        <f>5*V20+6*V21+7*V22+8*V23+9*V24+10*V25+11*V26</f>
        <v>0.84122323799999998</v>
      </c>
    </row>
    <row r="39" spans="1:23">
      <c r="A39" s="2"/>
      <c r="B39" s="22" t="s">
        <v>32</v>
      </c>
      <c r="C39" s="2" t="s">
        <v>79</v>
      </c>
      <c r="D39" s="36">
        <f>D10</f>
        <v>3.333333333333333</v>
      </c>
      <c r="E39" s="36">
        <f>E10</f>
        <v>3.333333333333333</v>
      </c>
      <c r="F39" s="36">
        <f>F10</f>
        <v>3.333333333333333</v>
      </c>
      <c r="G39" s="36">
        <f>G10</f>
        <v>3.333333333333333</v>
      </c>
      <c r="H39" s="25"/>
      <c r="I39" s="36">
        <f>I10</f>
        <v>3.333333333333333</v>
      </c>
      <c r="J39" s="36">
        <f>J10</f>
        <v>3.333333333333333</v>
      </c>
      <c r="K39" s="36">
        <f>K10</f>
        <v>3.333333333333333</v>
      </c>
      <c r="L39" s="36">
        <f>L10</f>
        <v>3.333333333333333</v>
      </c>
      <c r="M39" s="26"/>
      <c r="N39" s="36">
        <f>N10</f>
        <v>3.333333333333333</v>
      </c>
      <c r="O39" s="36">
        <f>O10</f>
        <v>3.333333333333333</v>
      </c>
      <c r="P39" s="36">
        <f>P10</f>
        <v>3.333333333333333</v>
      </c>
      <c r="Q39" s="36">
        <f>Q10</f>
        <v>3.333333333333333</v>
      </c>
      <c r="R39" s="26"/>
      <c r="S39" s="36">
        <f>S10</f>
        <v>3.333333333333333</v>
      </c>
      <c r="T39" s="36">
        <f>T10</f>
        <v>3.333333333333333</v>
      </c>
      <c r="U39" s="36">
        <f>U10</f>
        <v>3.333333333333333</v>
      </c>
      <c r="V39" s="36">
        <f>V10</f>
        <v>3.333333333333333</v>
      </c>
    </row>
    <row r="40" spans="1:23" ht="15.75">
      <c r="B40" s="2" t="s">
        <v>80</v>
      </c>
      <c r="C40" s="2" t="s">
        <v>81</v>
      </c>
      <c r="D40" s="38">
        <f>D38/D39</f>
        <v>3.1086435420000003E-3</v>
      </c>
      <c r="E40" s="38">
        <f>E38/E39</f>
        <v>5.6884661730000009E-4</v>
      </c>
      <c r="F40" s="38">
        <f>F38/F39</f>
        <v>8.4090878790000004E-4</v>
      </c>
      <c r="G40" s="38">
        <f>G38/G39</f>
        <v>1.2782955726000002E-3</v>
      </c>
      <c r="H40" s="25"/>
      <c r="I40" s="41">
        <f>I38/I39</f>
        <v>3.0091049610000004E-2</v>
      </c>
      <c r="J40" s="41">
        <f>J38/J39</f>
        <v>5.3032782629999997E-2</v>
      </c>
      <c r="K40" s="41">
        <f>K38/K39</f>
        <v>7.6686067560000001E-2</v>
      </c>
      <c r="L40" s="41">
        <f>L38/L39</f>
        <v>0.11234703345000001</v>
      </c>
      <c r="M40" s="26"/>
      <c r="N40" s="38">
        <f>N38/N39</f>
        <v>0.18595928661000002</v>
      </c>
      <c r="O40" s="42">
        <f>O38/O39</f>
        <v>0.23598855150000003</v>
      </c>
      <c r="P40" s="42">
        <f>P38/P39</f>
        <v>0.23597070000000001</v>
      </c>
      <c r="Q40" s="42">
        <f>Q38/Q39</f>
        <v>0.23578705770000002</v>
      </c>
      <c r="R40" s="25"/>
      <c r="S40" s="38">
        <f>S38/S39</f>
        <v>0.25470258179999999</v>
      </c>
      <c r="T40" s="38">
        <f>T38/T39</f>
        <v>0.25406137290000003</v>
      </c>
      <c r="U40" s="38">
        <f>U38/U39</f>
        <v>0.25339389629999998</v>
      </c>
      <c r="V40" s="38">
        <f>V38/V39</f>
        <v>0.25236697140000003</v>
      </c>
    </row>
    <row r="41" spans="1:23">
      <c r="D41" s="36"/>
      <c r="E41" s="36"/>
      <c r="F41" s="36"/>
      <c r="G41" s="36"/>
      <c r="H41" s="25"/>
      <c r="I41" s="36"/>
      <c r="J41" s="36"/>
      <c r="K41" s="36"/>
      <c r="L41" s="36"/>
      <c r="M41" s="26"/>
      <c r="N41" s="36"/>
      <c r="O41" s="36"/>
      <c r="P41" s="36"/>
      <c r="Q41" s="36"/>
      <c r="R41" s="26"/>
      <c r="S41" s="36"/>
      <c r="T41" s="36"/>
      <c r="U41" s="36"/>
      <c r="V41" s="36"/>
    </row>
    <row r="42" spans="1:23">
      <c r="D42" s="36"/>
      <c r="E42" s="36"/>
      <c r="F42" s="36"/>
      <c r="G42" s="36"/>
      <c r="H42" s="25"/>
      <c r="I42" s="36"/>
      <c r="J42" s="36"/>
      <c r="K42" s="36"/>
      <c r="L42" s="36"/>
      <c r="M42" s="26"/>
      <c r="N42" s="36"/>
      <c r="O42" s="36"/>
      <c r="P42" s="36"/>
      <c r="Q42" s="36"/>
      <c r="R42" s="26"/>
      <c r="S42" s="36"/>
      <c r="T42" s="36"/>
      <c r="U42" s="36"/>
      <c r="V42" s="36"/>
    </row>
    <row r="43" spans="1:23">
      <c r="C43" s="2" t="s">
        <v>78</v>
      </c>
      <c r="D43" s="36">
        <f>D38</f>
        <v>1.0362145140000001E-2</v>
      </c>
      <c r="E43" s="36">
        <f>E38</f>
        <v>1.8961553910000002E-3</v>
      </c>
      <c r="F43" s="36">
        <f>F38</f>
        <v>2.803029293E-3</v>
      </c>
      <c r="G43" s="36">
        <f>G38</f>
        <v>4.260985242E-3</v>
      </c>
      <c r="H43" s="25"/>
      <c r="I43" s="36">
        <f>I38</f>
        <v>0.10030349870000001</v>
      </c>
      <c r="J43" s="36">
        <f>J38</f>
        <v>0.17677594209999997</v>
      </c>
      <c r="K43" s="36">
        <f>K38</f>
        <v>0.2556202252</v>
      </c>
      <c r="L43" s="36">
        <f>L38</f>
        <v>0.3744901115</v>
      </c>
      <c r="M43" s="26"/>
      <c r="N43" s="36">
        <f>N38</f>
        <v>0.61986428869999999</v>
      </c>
      <c r="O43" s="36">
        <f>O38</f>
        <v>0.78662850500000003</v>
      </c>
      <c r="P43" s="36">
        <f>P38</f>
        <v>0.78656899999999996</v>
      </c>
      <c r="Q43" s="36">
        <f>Q38</f>
        <v>0.78595685900000001</v>
      </c>
      <c r="R43" s="26"/>
      <c r="S43" s="36">
        <f>S38</f>
        <v>0.84900860599999994</v>
      </c>
      <c r="T43" s="36">
        <f>T38</f>
        <v>0.84687124300000005</v>
      </c>
      <c r="U43" s="36">
        <f>U38</f>
        <v>0.84464632099999992</v>
      </c>
      <c r="V43" s="36">
        <f>V38</f>
        <v>0.84122323799999998</v>
      </c>
    </row>
    <row r="44" spans="1:23">
      <c r="B44" s="43" t="s">
        <v>32</v>
      </c>
      <c r="C44" s="2" t="s">
        <v>79</v>
      </c>
      <c r="D44" s="36">
        <f>D39*D34</f>
        <v>7.9654733333332839E-2</v>
      </c>
      <c r="E44" s="36">
        <f>E39*E34</f>
        <v>3.004546743333333</v>
      </c>
      <c r="F44" s="36">
        <f>F39*F34</f>
        <v>3.0064347133333329</v>
      </c>
      <c r="G44" s="36">
        <f>G39*G34</f>
        <v>3.009344623333333</v>
      </c>
      <c r="H44" s="25"/>
      <c r="I44" s="36">
        <f>I39*I34</f>
        <v>0.53085123333333284</v>
      </c>
      <c r="J44" s="36">
        <f>J39*J34</f>
        <v>0.88128443333333317</v>
      </c>
      <c r="K44" s="36">
        <f>K39*K34</f>
        <v>1.2274143333333329</v>
      </c>
      <c r="L44" s="36">
        <f>L39*L34</f>
        <v>1.733601133333333</v>
      </c>
      <c r="M44" s="26"/>
      <c r="N44" s="36">
        <f>N39*N34</f>
        <v>2.5215534733333329</v>
      </c>
      <c r="O44" s="36">
        <f>O39*O34</f>
        <v>3.210818783333333</v>
      </c>
      <c r="P44" s="36">
        <f>P39*P34</f>
        <v>3.215903823333333</v>
      </c>
      <c r="Q44" s="36">
        <f>Q39*Q34</f>
        <v>3.2211485533333328</v>
      </c>
      <c r="R44" s="26"/>
      <c r="S44" s="36">
        <f>S39*S34</f>
        <v>3.216087463333333</v>
      </c>
      <c r="T44" s="36">
        <f>T39*T34</f>
        <v>3.2292588333333332</v>
      </c>
      <c r="U44" s="36">
        <f>U39*U34</f>
        <v>3.2427988893333328</v>
      </c>
      <c r="V44" s="36">
        <f>V39*V34</f>
        <v>3.2636684803333331</v>
      </c>
    </row>
    <row r="45" spans="1:23" ht="15.75">
      <c r="B45" s="2" t="s">
        <v>82</v>
      </c>
      <c r="C45" s="2" t="s">
        <v>81</v>
      </c>
      <c r="D45" s="38">
        <f>D43/D44</f>
        <v>0.13008825347060438</v>
      </c>
      <c r="E45" s="38">
        <f>E43/E44</f>
        <v>6.3109532085240565E-4</v>
      </c>
      <c r="F45" s="38">
        <f>F43/F44</f>
        <v>9.3234331035653504E-4</v>
      </c>
      <c r="G45" s="38">
        <f>G43/G44</f>
        <v>1.415918007183994E-3</v>
      </c>
      <c r="H45" s="25"/>
      <c r="I45" s="38">
        <f>I43/I44</f>
        <v>0.18894841417278443</v>
      </c>
      <c r="J45" s="38">
        <f>J43/J44</f>
        <v>0.20058897606005599</v>
      </c>
      <c r="K45" s="38">
        <f>K43/K44</f>
        <v>0.20825911695670282</v>
      </c>
      <c r="L45" s="38">
        <f>L43/L44</f>
        <v>0.21601861252821059</v>
      </c>
      <c r="M45" s="26"/>
      <c r="N45" s="38">
        <f>N43/N44</f>
        <v>0.24582635080134904</v>
      </c>
      <c r="O45" s="38">
        <f>O43/O44</f>
        <v>0.24499311798075268</v>
      </c>
      <c r="P45" s="38">
        <f>P43/P44</f>
        <v>0.24458722748266434</v>
      </c>
      <c r="Q45" s="38">
        <f>Q43/Q44</f>
        <v>0.24399894819711754</v>
      </c>
      <c r="R45" s="25"/>
      <c r="S45" s="38">
        <f>S43/S44</f>
        <v>0.26398803380802333</v>
      </c>
      <c r="T45" s="38">
        <f>T43/T44</f>
        <v>0.26224941595215373</v>
      </c>
      <c r="U45" s="38">
        <f>U43/U44</f>
        <v>0.26046830217511441</v>
      </c>
      <c r="V45" s="38">
        <f>V43/V44</f>
        <v>0.25775388740282901</v>
      </c>
    </row>
    <row r="46" spans="1:23">
      <c r="D46" s="36"/>
      <c r="E46" s="36"/>
      <c r="F46" s="36"/>
      <c r="G46" s="36"/>
      <c r="H46" s="25"/>
      <c r="I46" s="36"/>
      <c r="J46" s="36"/>
      <c r="K46" s="36"/>
      <c r="L46" s="36"/>
      <c r="M46" s="26"/>
      <c r="N46" s="36"/>
      <c r="O46" s="36"/>
      <c r="P46" s="36"/>
      <c r="Q46" s="36"/>
      <c r="R46" s="26"/>
      <c r="S46" s="36"/>
      <c r="T46" s="36"/>
      <c r="U46" s="36"/>
      <c r="V46" s="36"/>
    </row>
    <row r="47" spans="1:23">
      <c r="A47" s="45"/>
      <c r="B47" s="45"/>
      <c r="C47" s="11" t="s">
        <v>98</v>
      </c>
      <c r="D47" s="53">
        <f t="shared" ref="D47:G52" si="0">D21/D20</f>
        <v>0.9387435882091012</v>
      </c>
      <c r="E47" s="53">
        <f t="shared" si="0"/>
        <v>0.93593271886259155</v>
      </c>
      <c r="F47" s="53">
        <f t="shared" si="0"/>
        <v>0.93400579072940737</v>
      </c>
      <c r="G47" s="53">
        <f t="shared" si="0"/>
        <v>0.93190013631380175</v>
      </c>
      <c r="H47" s="47"/>
      <c r="I47" s="53">
        <f t="shared" ref="I47:L52" si="1">I21/I20</f>
        <v>0.92072911034995875</v>
      </c>
      <c r="J47" s="53">
        <f t="shared" si="1"/>
        <v>0.91717607838508741</v>
      </c>
      <c r="K47" s="53">
        <f t="shared" si="1"/>
        <v>0.91482324664383563</v>
      </c>
      <c r="L47" s="53">
        <f t="shared" si="1"/>
        <v>0.91244021686362087</v>
      </c>
      <c r="M47" s="48"/>
      <c r="N47" s="53">
        <f t="shared" ref="N47:Q52" si="2">N21/N20</f>
        <v>0.90327945167929968</v>
      </c>
      <c r="O47" s="53">
        <f t="shared" si="2"/>
        <v>0.90356163666497136</v>
      </c>
      <c r="P47" s="53">
        <f t="shared" si="2"/>
        <v>0.90359223715825121</v>
      </c>
      <c r="Q47" s="53">
        <f t="shared" si="2"/>
        <v>0.90363108428367023</v>
      </c>
      <c r="R47" s="48"/>
      <c r="S47" s="53">
        <f t="shared" ref="S47:V52" si="3">S21/S20</f>
        <v>0.89713106781890684</v>
      </c>
      <c r="T47" s="53">
        <f t="shared" si="3"/>
        <v>0.89724745460196709</v>
      </c>
      <c r="U47" s="53">
        <f t="shared" si="3"/>
        <v>0.89737454032168207</v>
      </c>
      <c r="V47" s="53">
        <f t="shared" si="3"/>
        <v>0.89758498750213644</v>
      </c>
      <c r="W47" s="45"/>
    </row>
    <row r="48" spans="1:23" ht="18.75" customHeight="1">
      <c r="A48" s="45"/>
      <c r="C48" s="11" t="s">
        <v>99</v>
      </c>
      <c r="D48" s="53">
        <f t="shared" si="0"/>
        <v>0.93876185562350811</v>
      </c>
      <c r="E48" s="53">
        <f t="shared" si="0"/>
        <v>0.93595401860889527</v>
      </c>
      <c r="F48" s="53">
        <f t="shared" si="0"/>
        <v>0.93402905197425423</v>
      </c>
      <c r="G48" s="53">
        <f t="shared" si="0"/>
        <v>0.93192540951287173</v>
      </c>
      <c r="H48" s="47"/>
      <c r="I48" s="53">
        <f t="shared" si="1"/>
        <v>0.92076464849273032</v>
      </c>
      <c r="J48" s="53">
        <f t="shared" si="1"/>
        <v>0.91721484943772746</v>
      </c>
      <c r="K48" s="53">
        <f t="shared" si="1"/>
        <v>0.91486383730572085</v>
      </c>
      <c r="L48" s="53">
        <f t="shared" si="1"/>
        <v>0.91248153820649092</v>
      </c>
      <c r="M48" s="48"/>
      <c r="N48" s="53">
        <f t="shared" si="2"/>
        <v>0.90332330559242624</v>
      </c>
      <c r="O48" s="53">
        <f t="shared" si="2"/>
        <v>0.90360240131910585</v>
      </c>
      <c r="P48" s="53">
        <f t="shared" si="2"/>
        <v>0.90363456943098297</v>
      </c>
      <c r="Q48" s="53">
        <f t="shared" si="2"/>
        <v>0.90367582336898866</v>
      </c>
      <c r="R48" s="48"/>
      <c r="S48" s="53">
        <f t="shared" si="3"/>
        <v>0.89718427914136467</v>
      </c>
      <c r="T48" s="53">
        <f t="shared" si="3"/>
        <v>0.89730926574599024</v>
      </c>
      <c r="U48" s="53">
        <f t="shared" si="3"/>
        <v>0.89744562099359959</v>
      </c>
      <c r="V48" s="53">
        <f t="shared" si="3"/>
        <v>0.89767094808167003</v>
      </c>
      <c r="W48" s="45"/>
    </row>
    <row r="49" spans="1:23" ht="12.75" customHeight="1">
      <c r="A49" s="45"/>
      <c r="C49" s="11" t="s">
        <v>100</v>
      </c>
      <c r="D49" s="53">
        <f t="shared" si="0"/>
        <v>0.93878017129355207</v>
      </c>
      <c r="E49" s="53">
        <f t="shared" si="0"/>
        <v>0.93597548322329882</v>
      </c>
      <c r="F49" s="53">
        <f t="shared" si="0"/>
        <v>0.93405248243218353</v>
      </c>
      <c r="G49" s="53">
        <f t="shared" si="0"/>
        <v>0.93195086249518011</v>
      </c>
      <c r="H49" s="45"/>
      <c r="I49" s="53">
        <f t="shared" si="1"/>
        <v>0.92080054871647965</v>
      </c>
      <c r="J49" s="53">
        <f t="shared" si="1"/>
        <v>0.91725405604323174</v>
      </c>
      <c r="K49" s="53">
        <f t="shared" si="1"/>
        <v>0.91490487388531894</v>
      </c>
      <c r="L49" s="53">
        <f t="shared" si="1"/>
        <v>0.91252339829160223</v>
      </c>
      <c r="M49" s="45"/>
      <c r="N49" s="53">
        <f t="shared" si="2"/>
        <v>0.90336783297252365</v>
      </c>
      <c r="O49" s="53">
        <f t="shared" si="2"/>
        <v>0.90364381226224244</v>
      </c>
      <c r="P49" s="53">
        <f t="shared" si="2"/>
        <v>0.90367766175332076</v>
      </c>
      <c r="Q49" s="53">
        <f t="shared" si="2"/>
        <v>0.90372141713086551</v>
      </c>
      <c r="R49" s="45"/>
      <c r="S49" s="53">
        <f t="shared" si="3"/>
        <v>0.8972388441547331</v>
      </c>
      <c r="T49" s="53">
        <f t="shared" si="3"/>
        <v>0.89737291269396668</v>
      </c>
      <c r="U49" s="53">
        <f t="shared" si="3"/>
        <v>0.89751899602359264</v>
      </c>
      <c r="V49" s="53">
        <f t="shared" si="3"/>
        <v>0.89776005953933458</v>
      </c>
      <c r="W49" s="45"/>
    </row>
    <row r="50" spans="1:23">
      <c r="A50" s="45"/>
      <c r="C50" s="11" t="s">
        <v>101</v>
      </c>
      <c r="D50" s="53">
        <f t="shared" si="0"/>
        <v>0.93879863090030624</v>
      </c>
      <c r="E50" s="53">
        <f t="shared" si="0"/>
        <v>0.93599709966576894</v>
      </c>
      <c r="F50" s="53">
        <f t="shared" si="0"/>
        <v>0.93407605674662875</v>
      </c>
      <c r="G50" s="53">
        <f t="shared" si="0"/>
        <v>0.93197652201306225</v>
      </c>
      <c r="H50" s="45"/>
      <c r="I50" s="53">
        <f t="shared" si="1"/>
        <v>0.92083676541658499</v>
      </c>
      <c r="J50" s="53">
        <f t="shared" si="1"/>
        <v>0.91729363155013954</v>
      </c>
      <c r="K50" s="53">
        <f t="shared" si="1"/>
        <v>0.91494638258636851</v>
      </c>
      <c r="L50" s="53">
        <f t="shared" si="1"/>
        <v>0.91256576694852287</v>
      </c>
      <c r="M50" s="45"/>
      <c r="N50" s="53">
        <f t="shared" si="2"/>
        <v>0.90341305202325894</v>
      </c>
      <c r="O50" s="53">
        <f t="shared" si="2"/>
        <v>0.90368593108164275</v>
      </c>
      <c r="P50" s="53">
        <f t="shared" si="2"/>
        <v>0.90372155195048476</v>
      </c>
      <c r="Q50" s="53">
        <f t="shared" si="2"/>
        <v>0.90376801154529374</v>
      </c>
      <c r="R50" s="45"/>
      <c r="S50" s="53">
        <f t="shared" si="3"/>
        <v>0.89729466723293771</v>
      </c>
      <c r="T50" s="53">
        <f t="shared" si="3"/>
        <v>0.89743844533343886</v>
      </c>
      <c r="U50" s="53">
        <f t="shared" si="3"/>
        <v>0.89759488365950058</v>
      </c>
      <c r="V50" s="53">
        <f t="shared" si="3"/>
        <v>0.89785258315382566</v>
      </c>
      <c r="W50" s="45"/>
    </row>
    <row r="51" spans="1:23">
      <c r="A51" s="45"/>
      <c r="C51" s="11" t="s">
        <v>102</v>
      </c>
      <c r="D51" s="53">
        <f t="shared" si="0"/>
        <v>0.93881717196979708</v>
      </c>
      <c r="E51" s="53">
        <f t="shared" si="0"/>
        <v>0.93601877885309848</v>
      </c>
      <c r="F51" s="53">
        <f t="shared" si="0"/>
        <v>0.93409979091037398</v>
      </c>
      <c r="G51" s="53">
        <f t="shared" si="0"/>
        <v>0.93200235322506308</v>
      </c>
      <c r="H51" s="45"/>
      <c r="I51" s="53">
        <f t="shared" si="1"/>
        <v>0.92087348648735634</v>
      </c>
      <c r="J51" s="53">
        <f t="shared" si="1"/>
        <v>0.91733370140803339</v>
      </c>
      <c r="K51" s="53">
        <f t="shared" si="1"/>
        <v>0.91498841882380721</v>
      </c>
      <c r="L51" s="53">
        <f t="shared" si="1"/>
        <v>0.9126086893103218</v>
      </c>
      <c r="M51" s="45"/>
      <c r="N51" s="53">
        <f t="shared" si="2"/>
        <v>0.90345908736438707</v>
      </c>
      <c r="O51" s="53">
        <f t="shared" si="2"/>
        <v>0.90372865154569137</v>
      </c>
      <c r="P51" s="53">
        <f t="shared" si="2"/>
        <v>0.90376615726122156</v>
      </c>
      <c r="Q51" s="53">
        <f t="shared" si="2"/>
        <v>0.90381544121305712</v>
      </c>
      <c r="R51" s="45"/>
      <c r="S51" s="53">
        <f t="shared" si="3"/>
        <v>0.89735191308092033</v>
      </c>
      <c r="T51" s="53">
        <f t="shared" si="3"/>
        <v>0.89750595364767871</v>
      </c>
      <c r="U51" s="53">
        <f t="shared" si="3"/>
        <v>0.89767347791445407</v>
      </c>
      <c r="V51" s="53">
        <f t="shared" si="3"/>
        <v>0.89794876219597486</v>
      </c>
      <c r="W51" s="45"/>
    </row>
    <row r="52" spans="1:23">
      <c r="A52" s="45"/>
      <c r="C52" s="11" t="s">
        <v>103</v>
      </c>
      <c r="D52" s="53">
        <f t="shared" si="0"/>
        <v>0.9388357878769974</v>
      </c>
      <c r="E52" s="53">
        <f t="shared" si="0"/>
        <v>0.93604065060382191</v>
      </c>
      <c r="F52" s="53">
        <f t="shared" si="0"/>
        <v>0.93412370485158858</v>
      </c>
      <c r="G52" s="53">
        <f t="shared" si="0"/>
        <v>0.93202840357794836</v>
      </c>
      <c r="H52" s="45"/>
      <c r="I52" s="53">
        <f t="shared" si="1"/>
        <v>0.92091041085480896</v>
      </c>
      <c r="J52" s="53">
        <f t="shared" si="1"/>
        <v>0.91737420190383667</v>
      </c>
      <c r="K52" s="53">
        <f t="shared" si="1"/>
        <v>0.9150309026934843</v>
      </c>
      <c r="L52" s="53">
        <f t="shared" si="1"/>
        <v>0.91265215260333543</v>
      </c>
      <c r="M52" s="45"/>
      <c r="N52" s="53">
        <f t="shared" si="2"/>
        <v>0.90350588738771653</v>
      </c>
      <c r="O52" s="53">
        <f t="shared" si="2"/>
        <v>0.90377212609906354</v>
      </c>
      <c r="P52" s="53">
        <f t="shared" si="2"/>
        <v>0.90381165318626799</v>
      </c>
      <c r="Q52" s="53">
        <f t="shared" si="2"/>
        <v>0.90386389329198358</v>
      </c>
      <c r="R52" s="45"/>
      <c r="S52" s="53">
        <f t="shared" si="3"/>
        <v>0.89741065539285891</v>
      </c>
      <c r="T52" s="53">
        <f t="shared" si="3"/>
        <v>0.89757560461540065</v>
      </c>
      <c r="U52" s="53">
        <f t="shared" si="3"/>
        <v>0.89775476063884285</v>
      </c>
      <c r="V52" s="53">
        <f t="shared" si="3"/>
        <v>0.89804857239230929</v>
      </c>
      <c r="W52" s="45"/>
    </row>
    <row r="53" spans="1:23">
      <c r="A53" s="45"/>
      <c r="C53" s="2" t="s">
        <v>108</v>
      </c>
      <c r="D53" s="53">
        <f>SUM(D47:D52)/6</f>
        <v>0.93878953431221035</v>
      </c>
      <c r="E53" s="53">
        <f>SUM(E47:E52)/6</f>
        <v>0.93598645830291238</v>
      </c>
      <c r="F53" s="53">
        <f>SUM(F47:F52)/6</f>
        <v>0.93406447960740602</v>
      </c>
      <c r="G53" s="53">
        <f>SUM(G47:G52)/6</f>
        <v>0.9319639478563212</v>
      </c>
      <c r="H53" s="45"/>
      <c r="I53" s="53">
        <f>SUM(I47:I52)/6</f>
        <v>0.92081916171965317</v>
      </c>
      <c r="J53" s="53">
        <f>SUM(J47:J52)/6</f>
        <v>0.91727441978800928</v>
      </c>
      <c r="K53" s="53">
        <f>SUM(K47:K52)/6</f>
        <v>0.91492627698975582</v>
      </c>
      <c r="L53" s="53">
        <f>SUM(L47:L52)/6</f>
        <v>0.9125452937039823</v>
      </c>
      <c r="M53" s="45"/>
      <c r="N53" s="53">
        <f>SUM(N47:N52)/6</f>
        <v>0.90339143616993534</v>
      </c>
      <c r="O53" s="53">
        <f>SUM(O47:O52)/6</f>
        <v>0.90366575982878627</v>
      </c>
      <c r="P53" s="53">
        <f>SUM(P47:P52)/6</f>
        <v>0.90370063845675486</v>
      </c>
      <c r="Q53" s="53">
        <f>SUM(Q47:Q52)/6</f>
        <v>0.90374594513897655</v>
      </c>
      <c r="R53" s="45"/>
      <c r="S53" s="53">
        <f>SUM(S47:S52)/6</f>
        <v>0.89726857113695369</v>
      </c>
      <c r="T53" s="53">
        <f>SUM(T47:T52)/6</f>
        <v>0.89740827277307356</v>
      </c>
      <c r="U53" s="53">
        <f>SUM(U47:U52)/6</f>
        <v>0.8975603799252786</v>
      </c>
      <c r="V53" s="53">
        <f>SUM(V47:V52)/6</f>
        <v>0.89781098547754168</v>
      </c>
      <c r="W53" s="45"/>
    </row>
    <row r="54" spans="1:23">
      <c r="N54" s="61"/>
    </row>
  </sheetData>
  <pageMargins left="0.78749999999999998" right="0.78749999999999998" top="1.0249999999999999" bottom="1.0249999999999999" header="0.78749999999999998" footer="0.78749999999999998"/>
  <pageSetup paperSize="9" orientation="portrait" horizontalDpi="300" verticalDpi="300" r:id="rId1"/>
  <headerFooter>
    <oddHeader>&amp;C&amp;A</oddHeader>
    <oddFooter>&amp;CPágina &amp;P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W130"/>
  <sheetViews>
    <sheetView topLeftCell="A37" zoomScale="70" zoomScaleNormal="70" workbookViewId="0">
      <selection activeCell="D129" sqref="D129"/>
    </sheetView>
  </sheetViews>
  <sheetFormatPr defaultColWidth="11.5703125" defaultRowHeight="12.75"/>
  <cols>
    <col min="1" max="1" width="6.5703125" customWidth="1"/>
    <col min="2" max="2" width="30.7109375" customWidth="1"/>
    <col min="3" max="3" width="13" customWidth="1"/>
    <col min="4" max="7" width="13.7109375" customWidth="1"/>
    <col min="8" max="8" width="2" customWidth="1"/>
    <col min="9" max="14" width="14" customWidth="1"/>
    <col min="15" max="15" width="14.28515625" customWidth="1"/>
    <col min="16" max="16" width="13.5703125" customWidth="1"/>
    <col min="17" max="17" width="13.42578125" customWidth="1"/>
    <col min="18" max="18" width="2" customWidth="1"/>
    <col min="19" max="22" width="13" customWidth="1"/>
  </cols>
  <sheetData>
    <row r="1" spans="1:23">
      <c r="I1" t="s">
        <v>97</v>
      </c>
    </row>
    <row r="2" spans="1:23">
      <c r="A2" s="19"/>
      <c r="B2" s="20" t="s">
        <v>39</v>
      </c>
      <c r="C2" s="20"/>
      <c r="D2" s="8" t="s">
        <v>42</v>
      </c>
      <c r="E2" s="8" t="s">
        <v>42</v>
      </c>
      <c r="F2" s="8" t="s">
        <v>42</v>
      </c>
      <c r="G2" s="8" t="s">
        <v>42</v>
      </c>
      <c r="H2" s="2"/>
      <c r="I2" s="8" t="s">
        <v>42</v>
      </c>
      <c r="J2" s="8" t="s">
        <v>42</v>
      </c>
      <c r="K2" s="8" t="s">
        <v>42</v>
      </c>
      <c r="L2" s="8" t="s">
        <v>42</v>
      </c>
      <c r="N2" s="8" t="s">
        <v>43</v>
      </c>
      <c r="O2" s="8" t="s">
        <v>43</v>
      </c>
      <c r="P2" s="8" t="s">
        <v>43</v>
      </c>
      <c r="Q2" s="8" t="s">
        <v>43</v>
      </c>
      <c r="S2" s="8" t="s">
        <v>43</v>
      </c>
      <c r="T2" s="8" t="s">
        <v>43</v>
      </c>
      <c r="U2" s="8" t="s">
        <v>43</v>
      </c>
      <c r="V2" s="8" t="s">
        <v>43</v>
      </c>
    </row>
    <row r="3" spans="1:23">
      <c r="A3" s="21" t="s">
        <v>44</v>
      </c>
      <c r="B3" s="20" t="s">
        <v>45</v>
      </c>
      <c r="C3" s="20"/>
      <c r="D3">
        <f>10*101325</f>
        <v>1013250</v>
      </c>
      <c r="E3">
        <f>20*101325</f>
        <v>2026500</v>
      </c>
      <c r="F3">
        <f>30*101325</f>
        <v>3039750</v>
      </c>
      <c r="G3">
        <f>40*101325</f>
        <v>4053000</v>
      </c>
      <c r="I3">
        <f>10*101325</f>
        <v>1013250</v>
      </c>
      <c r="J3">
        <f>20*101325</f>
        <v>2026500</v>
      </c>
      <c r="K3">
        <f>30*101325</f>
        <v>3039750</v>
      </c>
      <c r="L3">
        <f>40*101325</f>
        <v>4053000</v>
      </c>
      <c r="N3">
        <f>10*101325</f>
        <v>1013250</v>
      </c>
      <c r="O3">
        <f>20*101325</f>
        <v>2026500</v>
      </c>
      <c r="P3">
        <f>30*101325</f>
        <v>3039750</v>
      </c>
      <c r="Q3">
        <f>40*101325</f>
        <v>4053000</v>
      </c>
      <c r="S3">
        <f>10*101325</f>
        <v>1013250</v>
      </c>
      <c r="T3">
        <f>20*101325</f>
        <v>2026500</v>
      </c>
      <c r="U3">
        <f>30*101325</f>
        <v>3039750</v>
      </c>
      <c r="V3">
        <f>40*101325</f>
        <v>4053000</v>
      </c>
    </row>
    <row r="4" spans="1:23">
      <c r="A4" s="21" t="s">
        <v>46</v>
      </c>
      <c r="B4" s="20" t="s">
        <v>47</v>
      </c>
      <c r="C4" s="20"/>
      <c r="D4">
        <v>10</v>
      </c>
      <c r="E4">
        <v>10</v>
      </c>
      <c r="F4">
        <v>10</v>
      </c>
      <c r="G4">
        <v>10</v>
      </c>
      <c r="I4">
        <v>10</v>
      </c>
      <c r="J4">
        <v>10</v>
      </c>
      <c r="K4">
        <v>10</v>
      </c>
      <c r="L4">
        <v>10</v>
      </c>
      <c r="N4">
        <v>10</v>
      </c>
      <c r="O4">
        <v>10</v>
      </c>
      <c r="P4">
        <v>10</v>
      </c>
      <c r="Q4">
        <v>10</v>
      </c>
      <c r="S4">
        <v>10</v>
      </c>
      <c r="T4">
        <v>10</v>
      </c>
      <c r="U4">
        <v>10</v>
      </c>
      <c r="V4">
        <v>10</v>
      </c>
    </row>
    <row r="5" spans="1:23">
      <c r="A5" s="21" t="s">
        <v>46</v>
      </c>
    </row>
    <row r="6" spans="1:23">
      <c r="A6" s="21" t="s">
        <v>48</v>
      </c>
      <c r="B6" s="22" t="s">
        <v>49</v>
      </c>
      <c r="C6" s="22"/>
    </row>
    <row r="7" spans="1:23" ht="15.75">
      <c r="A7" s="21"/>
      <c r="B7" s="20" t="s">
        <v>50</v>
      </c>
      <c r="C7" s="20"/>
      <c r="D7">
        <v>2</v>
      </c>
      <c r="E7">
        <v>2</v>
      </c>
      <c r="F7">
        <v>2</v>
      </c>
      <c r="G7">
        <v>2</v>
      </c>
      <c r="I7">
        <v>2</v>
      </c>
      <c r="J7">
        <v>2</v>
      </c>
      <c r="K7">
        <v>2</v>
      </c>
      <c r="L7">
        <v>2</v>
      </c>
      <c r="N7">
        <v>2</v>
      </c>
      <c r="O7">
        <v>2</v>
      </c>
      <c r="P7">
        <v>2</v>
      </c>
      <c r="Q7">
        <v>2</v>
      </c>
      <c r="S7">
        <v>2</v>
      </c>
      <c r="T7">
        <v>2</v>
      </c>
      <c r="U7">
        <v>2</v>
      </c>
      <c r="V7">
        <v>2</v>
      </c>
    </row>
    <row r="8" spans="1:23" ht="15.75">
      <c r="A8" s="23" t="s">
        <v>51</v>
      </c>
      <c r="B8" s="20" t="s">
        <v>6</v>
      </c>
      <c r="C8" s="20"/>
      <c r="D8">
        <f>D7/(1+D7)</f>
        <v>0.66666666666666663</v>
      </c>
      <c r="E8">
        <f>E7/(1+E7)</f>
        <v>0.66666666666666663</v>
      </c>
      <c r="F8">
        <f>F7/(1+F7)</f>
        <v>0.66666666666666663</v>
      </c>
      <c r="G8">
        <f>G7/(1+G7)</f>
        <v>0.66666666666666663</v>
      </c>
      <c r="I8">
        <f>I7/(1+I7)</f>
        <v>0.66666666666666663</v>
      </c>
      <c r="J8">
        <f>J7/(1+J7)</f>
        <v>0.66666666666666663</v>
      </c>
      <c r="K8">
        <f>K7/(1+K7)</f>
        <v>0.66666666666666663</v>
      </c>
      <c r="L8">
        <f>L7/(1+L7)</f>
        <v>0.66666666666666663</v>
      </c>
      <c r="N8">
        <f>N7/(1+N7)</f>
        <v>0.66666666666666663</v>
      </c>
      <c r="O8">
        <f>O7/(1+O7)</f>
        <v>0.66666666666666663</v>
      </c>
      <c r="P8">
        <f>P7/(1+P7)</f>
        <v>0.66666666666666663</v>
      </c>
      <c r="Q8">
        <f>Q7/(1+Q7)</f>
        <v>0.66666666666666663</v>
      </c>
      <c r="S8">
        <f>S7/(1+S7)</f>
        <v>0.66666666666666663</v>
      </c>
      <c r="T8">
        <f>T7/(1+T7)</f>
        <v>0.66666666666666663</v>
      </c>
      <c r="U8">
        <f>U7/(1+U7)</f>
        <v>0.66666666666666663</v>
      </c>
      <c r="V8">
        <f>V7/(1+V7)</f>
        <v>0.66666666666666663</v>
      </c>
    </row>
    <row r="9" spans="1:23">
      <c r="A9" s="24"/>
      <c r="B9" s="20" t="s">
        <v>7</v>
      </c>
      <c r="C9" s="20"/>
      <c r="D9">
        <f>1/(1+D7)</f>
        <v>0.33333333333333331</v>
      </c>
      <c r="E9">
        <f>1/(1+E7)</f>
        <v>0.33333333333333331</v>
      </c>
      <c r="F9">
        <f>1/(1+F7)</f>
        <v>0.33333333333333331</v>
      </c>
      <c r="G9">
        <f>1/(1+G7)</f>
        <v>0.33333333333333331</v>
      </c>
      <c r="I9">
        <f>1/(1+I7)</f>
        <v>0.33333333333333331</v>
      </c>
      <c r="J9">
        <f>1/(1+J7)</f>
        <v>0.33333333333333331</v>
      </c>
      <c r="K9">
        <f>1/(1+K7)</f>
        <v>0.33333333333333331</v>
      </c>
      <c r="L9">
        <f>1/(1+L7)</f>
        <v>0.33333333333333331</v>
      </c>
      <c r="N9">
        <f>1/(1+N7)</f>
        <v>0.33333333333333331</v>
      </c>
      <c r="O9">
        <f>1/(1+O7)</f>
        <v>0.33333333333333331</v>
      </c>
      <c r="P9">
        <f>1/(1+P7)</f>
        <v>0.33333333333333331</v>
      </c>
      <c r="Q9">
        <f>1/(1+Q7)</f>
        <v>0.33333333333333331</v>
      </c>
      <c r="S9">
        <f>1/(1+S7)</f>
        <v>0.33333333333333331</v>
      </c>
      <c r="T9">
        <f>1/(1+T7)</f>
        <v>0.33333333333333331</v>
      </c>
      <c r="U9">
        <f>1/(1+U7)</f>
        <v>0.33333333333333331</v>
      </c>
      <c r="V9">
        <f>1/(1+V7)</f>
        <v>0.33333333333333331</v>
      </c>
    </row>
    <row r="10" spans="1:23" ht="15.75">
      <c r="B10" s="20" t="s">
        <v>52</v>
      </c>
      <c r="D10">
        <f>D4*D9</f>
        <v>3.333333333333333</v>
      </c>
      <c r="E10">
        <f>E4*E9</f>
        <v>3.333333333333333</v>
      </c>
      <c r="F10">
        <f>F4*F9</f>
        <v>3.333333333333333</v>
      </c>
      <c r="G10">
        <f>G4*G9</f>
        <v>3.333333333333333</v>
      </c>
      <c r="H10" s="2"/>
      <c r="I10">
        <f>I4*I9</f>
        <v>3.333333333333333</v>
      </c>
      <c r="J10">
        <f>J4*J9</f>
        <v>3.333333333333333</v>
      </c>
      <c r="K10">
        <f>K4*K9</f>
        <v>3.333333333333333</v>
      </c>
      <c r="L10">
        <f>L4*L9</f>
        <v>3.333333333333333</v>
      </c>
      <c r="N10">
        <f>N4*N9</f>
        <v>3.333333333333333</v>
      </c>
      <c r="O10">
        <f>O4*O9</f>
        <v>3.333333333333333</v>
      </c>
      <c r="P10">
        <f>P4*P9</f>
        <v>3.333333333333333</v>
      </c>
      <c r="Q10">
        <f>Q4*Q9</f>
        <v>3.333333333333333</v>
      </c>
      <c r="S10">
        <f>S4*S9</f>
        <v>3.333333333333333</v>
      </c>
      <c r="T10">
        <f>T4*T9</f>
        <v>3.333333333333333</v>
      </c>
      <c r="U10">
        <f>U4*U9</f>
        <v>3.333333333333333</v>
      </c>
      <c r="V10">
        <f>V4*V9</f>
        <v>3.333333333333333</v>
      </c>
    </row>
    <row r="11" spans="1:23">
      <c r="E11" s="2"/>
      <c r="F11" s="2"/>
      <c r="G11" s="2"/>
      <c r="H11" s="2"/>
      <c r="I11" s="2"/>
      <c r="J11" s="2"/>
      <c r="K11" s="2"/>
      <c r="L11" s="2"/>
      <c r="N11" s="2"/>
      <c r="O11" s="2"/>
      <c r="P11" s="2"/>
      <c r="Q11" s="2"/>
      <c r="S11" s="2"/>
      <c r="T11" s="2"/>
      <c r="U11" s="2"/>
      <c r="V11" s="2"/>
    </row>
    <row r="12" spans="1:23">
      <c r="B12" s="20" t="s">
        <v>9</v>
      </c>
      <c r="C12" s="20"/>
      <c r="D12" s="8" t="s">
        <v>11</v>
      </c>
      <c r="E12" s="8" t="s">
        <v>11</v>
      </c>
      <c r="F12" s="8" t="s">
        <v>11</v>
      </c>
      <c r="G12" s="8" t="s">
        <v>11</v>
      </c>
      <c r="H12" s="2"/>
      <c r="I12" s="8" t="s">
        <v>12</v>
      </c>
      <c r="J12" s="8" t="s">
        <v>12</v>
      </c>
      <c r="K12" s="8" t="s">
        <v>12</v>
      </c>
      <c r="L12" s="8" t="s">
        <v>12</v>
      </c>
      <c r="N12" s="8" t="s">
        <v>11</v>
      </c>
      <c r="O12" s="8" t="s">
        <v>11</v>
      </c>
      <c r="P12" s="8" t="s">
        <v>11</v>
      </c>
      <c r="Q12" s="8" t="s">
        <v>11</v>
      </c>
      <c r="S12" s="8" t="s">
        <v>12</v>
      </c>
      <c r="T12" s="8" t="s">
        <v>12</v>
      </c>
      <c r="U12" s="8" t="s">
        <v>12</v>
      </c>
      <c r="V12" s="8" t="s">
        <v>12</v>
      </c>
    </row>
    <row r="13" spans="1:23">
      <c r="E13" s="2"/>
      <c r="F13" s="2"/>
      <c r="G13" s="2"/>
      <c r="H13" s="2"/>
      <c r="I13" s="2"/>
      <c r="J13" s="2"/>
      <c r="K13" s="2"/>
      <c r="L13" s="2"/>
      <c r="N13" s="2"/>
      <c r="O13" s="2"/>
      <c r="P13" s="2"/>
      <c r="Q13" s="2"/>
      <c r="S13" s="2"/>
      <c r="T13" s="2"/>
      <c r="U13" s="2"/>
      <c r="V13" s="2"/>
    </row>
    <row r="14" spans="1:23">
      <c r="A14" s="44"/>
      <c r="B14" s="22" t="s">
        <v>53</v>
      </c>
      <c r="C14" s="22"/>
      <c r="D14" s="8"/>
      <c r="E14" s="8"/>
      <c r="F14" s="8"/>
      <c r="G14" s="8"/>
      <c r="H14" s="11"/>
      <c r="I14" s="8"/>
      <c r="J14" s="8"/>
      <c r="K14" s="8"/>
      <c r="L14" s="8"/>
      <c r="M14" s="45"/>
      <c r="N14" s="8"/>
      <c r="O14" s="8"/>
      <c r="P14" s="8"/>
      <c r="Q14" s="8"/>
      <c r="R14" s="45"/>
      <c r="S14" s="8"/>
      <c r="T14" s="8"/>
      <c r="U14" s="8"/>
      <c r="V14" s="8"/>
      <c r="W14" s="45"/>
    </row>
    <row r="15" spans="1:23" ht="15.75">
      <c r="A15" s="21" t="s">
        <v>54</v>
      </c>
      <c r="B15" s="20" t="s">
        <v>55</v>
      </c>
      <c r="C15" s="20"/>
      <c r="D15" s="46">
        <v>0.13106448000000001</v>
      </c>
      <c r="E15" s="46">
        <v>0.12250751</v>
      </c>
      <c r="F15" s="46">
        <v>0.12473769</v>
      </c>
      <c r="G15" s="46">
        <v>0.13245135999999999</v>
      </c>
      <c r="H15" s="47"/>
      <c r="I15" s="46">
        <v>0.11913253</v>
      </c>
      <c r="J15" s="46">
        <v>0.11729355</v>
      </c>
      <c r="K15" s="46">
        <v>0.11002120999999999</v>
      </c>
      <c r="L15" s="46">
        <v>9.8526718999999999E-2</v>
      </c>
      <c r="M15" s="48"/>
      <c r="N15" s="46">
        <v>0.11398990000000001</v>
      </c>
      <c r="O15" s="46">
        <v>0.10377366</v>
      </c>
      <c r="P15" s="46">
        <v>9.1124753000000003E-2</v>
      </c>
      <c r="Q15" s="46">
        <v>7.6689610000000005E-2</v>
      </c>
      <c r="R15" s="48"/>
      <c r="S15" s="46">
        <v>0.10703732000000001</v>
      </c>
      <c r="T15" s="46">
        <v>8.9979802999999997E-2</v>
      </c>
      <c r="U15" s="46">
        <v>7.1889142000000003E-2</v>
      </c>
      <c r="V15" s="46">
        <v>5.5319902999999997E-2</v>
      </c>
      <c r="W15" s="45"/>
    </row>
    <row r="16" spans="1:23" ht="15.75">
      <c r="A16" s="21"/>
      <c r="B16" s="20" t="s">
        <v>56</v>
      </c>
      <c r="C16" s="20"/>
      <c r="D16" s="46">
        <v>2.2551709999999999E-2</v>
      </c>
      <c r="E16" s="46">
        <v>4.3743365000000001E-3</v>
      </c>
      <c r="F16" s="46">
        <v>1.9902309999999999E-2</v>
      </c>
      <c r="G16" s="46">
        <v>5.5769975999999999E-2</v>
      </c>
      <c r="H16" s="47"/>
      <c r="I16" s="46">
        <v>0</v>
      </c>
      <c r="J16" s="46">
        <v>0</v>
      </c>
      <c r="K16" s="46">
        <v>0</v>
      </c>
      <c r="L16" s="46">
        <v>0</v>
      </c>
      <c r="M16" s="48"/>
      <c r="N16" s="49">
        <v>6.8765057000000001E-6</v>
      </c>
      <c r="O16" s="49">
        <v>2.4946254999999999E-5</v>
      </c>
      <c r="P16" s="46">
        <v>0</v>
      </c>
      <c r="Q16" s="46">
        <v>0</v>
      </c>
      <c r="R16" s="48"/>
      <c r="S16" s="46">
        <v>0</v>
      </c>
      <c r="T16" s="49">
        <v>3.0401947999999999E-5</v>
      </c>
      <c r="U16" s="46">
        <v>0</v>
      </c>
      <c r="V16" s="49">
        <v>7.4954464000000004E-5</v>
      </c>
      <c r="W16" s="45"/>
    </row>
    <row r="17" spans="1:23" ht="15.75">
      <c r="A17" s="21" t="s">
        <v>57</v>
      </c>
      <c r="B17" s="20" t="s">
        <v>58</v>
      </c>
      <c r="C17" s="20"/>
      <c r="D17" s="46">
        <v>3.1998096</v>
      </c>
      <c r="E17" s="46">
        <v>3.201273</v>
      </c>
      <c r="F17" s="46">
        <v>3.1872218000000001</v>
      </c>
      <c r="G17" s="46">
        <v>3.1631401000000001</v>
      </c>
      <c r="H17" s="47"/>
      <c r="I17" s="46">
        <v>3.2111806999999999</v>
      </c>
      <c r="J17" s="46">
        <v>3.2042820999999999</v>
      </c>
      <c r="K17" s="46">
        <v>3.1972307</v>
      </c>
      <c r="L17" s="46">
        <v>3.1893623999999998</v>
      </c>
      <c r="M17" s="48"/>
      <c r="N17" s="46">
        <v>3.2159631000000002</v>
      </c>
      <c r="O17" s="46">
        <v>3.2165146</v>
      </c>
      <c r="P17" s="46">
        <v>3.2140102000000002</v>
      </c>
      <c r="Q17" s="46">
        <v>3.2093360999999998</v>
      </c>
      <c r="R17" s="48"/>
      <c r="S17" s="46">
        <v>3.2218912</v>
      </c>
      <c r="T17" s="46">
        <v>3.2268086</v>
      </c>
      <c r="U17" s="46">
        <v>3.22695</v>
      </c>
      <c r="V17" s="46">
        <v>3.2220651</v>
      </c>
      <c r="W17" s="45"/>
    </row>
    <row r="18" spans="1:23" ht="15.75">
      <c r="A18" s="21"/>
      <c r="B18" s="20" t="s">
        <v>59</v>
      </c>
      <c r="C18" s="20"/>
      <c r="D18" s="46">
        <v>1.2295940000000001E-3</v>
      </c>
      <c r="E18" s="46">
        <v>4.7763872000000001E-3</v>
      </c>
      <c r="F18" s="46">
        <v>1.0686884000000001E-2</v>
      </c>
      <c r="G18" s="46">
        <v>1.8870913999999999E-2</v>
      </c>
      <c r="H18" s="47"/>
      <c r="I18" s="46">
        <v>1.5100109999999999E-3</v>
      </c>
      <c r="J18" s="46">
        <v>5.8788306999999996E-3</v>
      </c>
      <c r="K18" s="46">
        <v>1.304071E-2</v>
      </c>
      <c r="L18" s="46">
        <v>2.2722102000000001E-2</v>
      </c>
      <c r="M18" s="48"/>
      <c r="N18" s="46">
        <v>1.6901581E-3</v>
      </c>
      <c r="O18" s="46">
        <v>6.5225383999999997E-3</v>
      </c>
      <c r="P18" s="46">
        <v>1.4099178E-2</v>
      </c>
      <c r="Q18" s="46">
        <v>2.3653819E-2</v>
      </c>
      <c r="R18" s="48"/>
      <c r="S18" s="46">
        <v>2.2023721999999998E-3</v>
      </c>
      <c r="T18" s="46">
        <v>8.2724719999999995E-3</v>
      </c>
      <c r="U18" s="46">
        <v>1.7247085999999998E-2</v>
      </c>
      <c r="V18" s="46">
        <v>2.7974128000000001E-2</v>
      </c>
      <c r="W18" s="45"/>
    </row>
    <row r="19" spans="1:23">
      <c r="A19" s="21" t="s">
        <v>60</v>
      </c>
      <c r="B19" s="45"/>
      <c r="C19" s="45"/>
      <c r="D19" s="47"/>
      <c r="E19" s="47"/>
      <c r="F19" s="47"/>
      <c r="G19" s="47"/>
      <c r="H19" s="47"/>
      <c r="I19" s="47"/>
      <c r="J19" s="47"/>
      <c r="K19" s="47"/>
      <c r="L19" s="47"/>
      <c r="M19" s="48"/>
      <c r="N19" s="47"/>
      <c r="O19" s="47"/>
      <c r="P19" s="47"/>
      <c r="Q19" s="47"/>
      <c r="R19" s="48"/>
      <c r="S19" s="47"/>
      <c r="T19" s="47"/>
      <c r="U19" s="47"/>
      <c r="V19" s="47"/>
      <c r="W19" s="45"/>
    </row>
    <row r="20" spans="1:23" ht="15.75">
      <c r="A20" s="21"/>
      <c r="B20" s="20" t="s">
        <v>61</v>
      </c>
      <c r="C20" s="11">
        <v>5</v>
      </c>
      <c r="D20" s="46">
        <v>1.5077594999999999E-2</v>
      </c>
      <c r="E20" s="46">
        <v>1.9735150999999999E-2</v>
      </c>
      <c r="F20" s="46">
        <v>2.2846040000000001E-2</v>
      </c>
      <c r="G20" s="46">
        <v>2.5167478E-2</v>
      </c>
      <c r="H20" s="47"/>
      <c r="I20" s="46">
        <v>1.5106056E-2</v>
      </c>
      <c r="J20" s="46">
        <v>1.9731851000000002E-2</v>
      </c>
      <c r="K20" s="46">
        <v>2.2888828E-2</v>
      </c>
      <c r="L20" s="46">
        <v>2.5327213000000001E-2</v>
      </c>
      <c r="M20" s="48"/>
      <c r="N20" s="46">
        <v>1.6710031E-2</v>
      </c>
      <c r="O20" s="46">
        <v>2.1708854999999999E-2</v>
      </c>
      <c r="P20" s="46">
        <v>2.5118728999999999E-2</v>
      </c>
      <c r="Q20" s="46">
        <v>2.7750502999999999E-2</v>
      </c>
      <c r="R20" s="48"/>
      <c r="S20" s="46">
        <v>1.6647647000000002E-2</v>
      </c>
      <c r="T20" s="46">
        <v>2.1642222999999999E-2</v>
      </c>
      <c r="U20" s="46">
        <v>2.5066459999999999E-2</v>
      </c>
      <c r="V20" s="46">
        <v>2.7702493000000002E-2</v>
      </c>
      <c r="W20" s="45"/>
    </row>
    <row r="21" spans="1:23" ht="15.75">
      <c r="A21" s="21" t="s">
        <v>48</v>
      </c>
      <c r="B21" s="20" t="s">
        <v>62</v>
      </c>
      <c r="C21" s="11">
        <v>6</v>
      </c>
      <c r="D21" s="46">
        <v>1.3842719999999999E-2</v>
      </c>
      <c r="E21" s="46">
        <v>1.7825943E-2</v>
      </c>
      <c r="F21" s="46">
        <v>2.0412983999999999E-2</v>
      </c>
      <c r="G21" s="46">
        <v>2.2300243000000001E-2</v>
      </c>
      <c r="H21" s="47"/>
      <c r="I21" s="46">
        <v>1.3869635E-2</v>
      </c>
      <c r="J21" s="46">
        <v>1.7823571999999999E-2</v>
      </c>
      <c r="K21" s="46">
        <v>2.0452597999999999E-2</v>
      </c>
      <c r="L21" s="46">
        <v>2.2445177E-2</v>
      </c>
      <c r="M21" s="48"/>
      <c r="N21" s="46">
        <v>1.5251165000000001E-2</v>
      </c>
      <c r="O21" s="46">
        <v>1.9471235999999999E-2</v>
      </c>
      <c r="P21" s="46">
        <v>2.2270208E-2</v>
      </c>
      <c r="Q21" s="46">
        <v>2.4386358E-2</v>
      </c>
      <c r="R21" s="48"/>
      <c r="S21" s="46">
        <v>1.5196081E-2</v>
      </c>
      <c r="T21" s="46">
        <v>1.9414238E-2</v>
      </c>
      <c r="U21" s="46">
        <v>2.2227376E-2</v>
      </c>
      <c r="V21" s="46">
        <v>2.4348108E-2</v>
      </c>
      <c r="W21" s="45"/>
    </row>
    <row r="22" spans="1:23" ht="15.75">
      <c r="A22" s="21"/>
      <c r="B22" s="20" t="s">
        <v>63</v>
      </c>
      <c r="C22" s="11">
        <v>7</v>
      </c>
      <c r="D22" s="46">
        <v>1.2709379E-2</v>
      </c>
      <c r="E22" s="46">
        <v>1.6102165000000002E-2</v>
      </c>
      <c r="F22" s="46">
        <v>1.8240052E-2</v>
      </c>
      <c r="G22" s="46">
        <v>1.9760906000000002E-2</v>
      </c>
      <c r="H22" s="47"/>
      <c r="I22" s="46">
        <v>1.2734828E-2</v>
      </c>
      <c r="J22" s="46">
        <v>1.6100603000000002E-2</v>
      </c>
      <c r="K22" s="46">
        <v>1.8276733E-2</v>
      </c>
      <c r="L22" s="46">
        <v>1.9892429999999999E-2</v>
      </c>
      <c r="M22" s="48"/>
      <c r="N22" s="46">
        <v>1.3920322000000001E-2</v>
      </c>
      <c r="O22" s="46">
        <v>1.7465469000000001E-2</v>
      </c>
      <c r="P22" s="46">
        <v>1.9746377999999998E-2</v>
      </c>
      <c r="Q22" s="46">
        <v>2.1432099999999999E-2</v>
      </c>
      <c r="R22" s="48"/>
      <c r="S22" s="46">
        <v>1.3871826E-2</v>
      </c>
      <c r="T22" s="46">
        <v>1.7417004E-2</v>
      </c>
      <c r="U22" s="46">
        <v>1.9711759999999998E-2</v>
      </c>
      <c r="V22" s="46">
        <v>2.1402253E-2</v>
      </c>
      <c r="W22" s="45"/>
    </row>
    <row r="23" spans="1:23" ht="15.75">
      <c r="A23" s="21" t="s">
        <v>64</v>
      </c>
      <c r="B23" s="20" t="s">
        <v>65</v>
      </c>
      <c r="C23" s="11">
        <v>8</v>
      </c>
      <c r="D23" s="46">
        <v>1.1669196999999999E-2</v>
      </c>
      <c r="E23" s="46">
        <v>1.4545749E-2</v>
      </c>
      <c r="F23" s="46">
        <v>1.6299345E-2</v>
      </c>
      <c r="G23" s="46">
        <v>1.7511848999999999E-2</v>
      </c>
      <c r="H23" s="47"/>
      <c r="I23" s="46">
        <v>1.1693255E-2</v>
      </c>
      <c r="J23" s="46">
        <v>1.4544888000000001E-2</v>
      </c>
      <c r="K23" s="46">
        <v>1.6333314000000002E-2</v>
      </c>
      <c r="L23" s="46">
        <v>1.7631221999999998E-2</v>
      </c>
      <c r="M23" s="48"/>
      <c r="N23" s="46">
        <v>1.2706222E-2</v>
      </c>
      <c r="O23" s="46">
        <v>1.5667437999999999E-2</v>
      </c>
      <c r="P23" s="46">
        <v>1.7510090999999998E-2</v>
      </c>
      <c r="Q23" s="46">
        <v>1.8837610000000001E-2</v>
      </c>
      <c r="R23" s="48"/>
      <c r="S23" s="46">
        <v>1.2663667E-2</v>
      </c>
      <c r="T23" s="46">
        <v>1.5626522E-2</v>
      </c>
      <c r="U23" s="46">
        <v>1.7482610999999999E-2</v>
      </c>
      <c r="V23" s="46">
        <v>1.8814978E-2</v>
      </c>
      <c r="W23" s="45"/>
    </row>
    <row r="24" spans="1:23" ht="15.75">
      <c r="A24" s="21"/>
      <c r="B24" s="20" t="s">
        <v>66</v>
      </c>
      <c r="C24" s="11">
        <v>9</v>
      </c>
      <c r="D24" s="46">
        <v>1.071449E-2</v>
      </c>
      <c r="E24" s="46">
        <v>1.314039E-2</v>
      </c>
      <c r="F24" s="46">
        <v>1.4565961000000001E-2</v>
      </c>
      <c r="G24" s="46">
        <v>1.5519781999999999E-2</v>
      </c>
      <c r="H24" s="47"/>
      <c r="I24" s="46">
        <v>1.073723E-2</v>
      </c>
      <c r="J24" s="46">
        <v>1.3140136E-2</v>
      </c>
      <c r="K24" s="46">
        <v>1.4597426E-2</v>
      </c>
      <c r="L24" s="46">
        <v>1.5628145999999999E-2</v>
      </c>
      <c r="M24" s="48"/>
      <c r="N24" s="46">
        <v>1.1598584E-2</v>
      </c>
      <c r="O24" s="46">
        <v>1.4055543E-2</v>
      </c>
      <c r="P24" s="46">
        <v>1.5528462999999999E-2</v>
      </c>
      <c r="Q24" s="46">
        <v>1.6558910999999999E-2</v>
      </c>
      <c r="R24" s="48"/>
      <c r="S24" s="46">
        <v>1.1561381000000001E-2</v>
      </c>
      <c r="T24" s="46">
        <v>1.4021297E-2</v>
      </c>
      <c r="U24" s="46">
        <v>1.5507172E-2</v>
      </c>
      <c r="V24" s="46">
        <v>1.6542457999999999E-2</v>
      </c>
      <c r="W24" s="45"/>
    </row>
    <row r="25" spans="1:23" ht="15.75">
      <c r="A25" s="21" t="s">
        <v>60</v>
      </c>
      <c r="B25" s="20" t="s">
        <v>67</v>
      </c>
      <c r="C25" s="11">
        <v>10</v>
      </c>
      <c r="D25" s="46">
        <v>9.83821E-3</v>
      </c>
      <c r="E25" s="46">
        <v>1.1871378E-2</v>
      </c>
      <c r="F25" s="46">
        <v>1.3017678E-2</v>
      </c>
      <c r="G25" s="46">
        <v>1.3755244E-2</v>
      </c>
      <c r="H25" s="47"/>
      <c r="I25" s="46">
        <v>9.8597011999999994E-3</v>
      </c>
      <c r="J25" s="46">
        <v>1.1871646E-2</v>
      </c>
      <c r="K25" s="46">
        <v>1.3046828999999999E-2</v>
      </c>
      <c r="L25" s="46">
        <v>1.3853631E-2</v>
      </c>
      <c r="M25" s="48"/>
      <c r="N25" s="46">
        <v>1.0588034E-2</v>
      </c>
      <c r="O25" s="46">
        <v>1.2610440000000001E-2</v>
      </c>
      <c r="P25" s="46">
        <v>1.3772382E-2</v>
      </c>
      <c r="Q25" s="46">
        <v>1.4557419E-2</v>
      </c>
      <c r="R25" s="48"/>
      <c r="S25" s="46">
        <v>1.0555648000000001E-2</v>
      </c>
      <c r="T25" s="46">
        <v>1.2582077000000001E-2</v>
      </c>
      <c r="U25" s="46">
        <v>1.3756444E-2</v>
      </c>
      <c r="V25" s="46">
        <v>1.4546241999999999E-2</v>
      </c>
      <c r="W25" s="45"/>
    </row>
    <row r="26" spans="1:23" ht="15.75">
      <c r="A26" s="21"/>
      <c r="B26" s="20" t="s">
        <v>68</v>
      </c>
      <c r="C26" s="11">
        <v>11</v>
      </c>
      <c r="D26" s="46">
        <v>9.0338924999999997E-3</v>
      </c>
      <c r="E26" s="46">
        <v>1.0725438E-2</v>
      </c>
      <c r="F26" s="46">
        <v>1.1634663E-2</v>
      </c>
      <c r="G26" s="46">
        <v>1.2192161E-2</v>
      </c>
      <c r="H26" s="47"/>
      <c r="I26" s="46">
        <v>9.0542004000000002E-3</v>
      </c>
      <c r="J26" s="46">
        <v>1.0726153E-2</v>
      </c>
      <c r="K26" s="46">
        <v>1.1661675999999999E-2</v>
      </c>
      <c r="L26" s="46">
        <v>1.2281507000000001E-2</v>
      </c>
      <c r="M26" s="48"/>
      <c r="N26" s="46">
        <v>9.666025E-3</v>
      </c>
      <c r="O26" s="46">
        <v>1.1314797E-2</v>
      </c>
      <c r="P26" s="46">
        <v>1.2216072999999999E-2</v>
      </c>
      <c r="Q26" s="46">
        <v>1.279928E-2</v>
      </c>
      <c r="R26" s="48"/>
      <c r="S26" s="46">
        <v>9.6379706000000002E-3</v>
      </c>
      <c r="T26" s="46">
        <v>1.1291615E-2</v>
      </c>
      <c r="U26" s="46">
        <v>1.2204753E-2</v>
      </c>
      <c r="V26" s="46">
        <v>1.2792589E-2</v>
      </c>
      <c r="W26" s="45"/>
    </row>
    <row r="27" spans="1:23" ht="14.25">
      <c r="A27" s="21" t="s">
        <v>69</v>
      </c>
      <c r="B27" s="28" t="s">
        <v>70</v>
      </c>
      <c r="C27" s="20"/>
      <c r="D27" s="47">
        <f>SUM(D20:D26)</f>
        <v>8.2885483499999996E-2</v>
      </c>
      <c r="E27" s="47">
        <f>SUM(E20:E26)</f>
        <v>0.10394621400000001</v>
      </c>
      <c r="F27" s="47">
        <f>SUM(F20:F26)</f>
        <v>0.11701672300000002</v>
      </c>
      <c r="G27" s="47">
        <f>SUM(G20:G26)</f>
        <v>0.126207663</v>
      </c>
      <c r="H27" s="47"/>
      <c r="I27" s="47">
        <f>SUM(I20:I26)</f>
        <v>8.3054905600000006E-2</v>
      </c>
      <c r="J27" s="47">
        <f>SUM(J20:J26)</f>
        <v>0.10393884900000001</v>
      </c>
      <c r="K27" s="47">
        <f>SUM(K20:K26)</f>
        <v>0.117257404</v>
      </c>
      <c r="L27" s="47">
        <f>SUM(L20:L26)</f>
        <v>0.127059326</v>
      </c>
      <c r="M27" s="48"/>
      <c r="N27" s="47">
        <f>SUM(N20:N26)</f>
        <v>9.0440382999999985E-2</v>
      </c>
      <c r="O27" s="47">
        <f>SUM(O20:O26)</f>
        <v>0.112293778</v>
      </c>
      <c r="P27" s="47">
        <f>SUM(P20:P26)</f>
        <v>0.12616232399999999</v>
      </c>
      <c r="Q27" s="47">
        <f>SUM(Q20:Q26)</f>
        <v>0.13632218100000001</v>
      </c>
      <c r="R27" s="47"/>
      <c r="S27" s="47">
        <f>SUM(S20:S26)</f>
        <v>9.0134220600000009E-2</v>
      </c>
      <c r="T27" s="47">
        <f>SUM(T20:T26)</f>
        <v>0.11199497600000001</v>
      </c>
      <c r="U27" s="47">
        <f>SUM(U20:U26)</f>
        <v>0.12595657600000001</v>
      </c>
      <c r="V27" s="47">
        <f>SUM(V20:V26)</f>
        <v>0.13614912099999998</v>
      </c>
      <c r="W27" s="45"/>
    </row>
    <row r="28" spans="1:23">
      <c r="A28" s="21"/>
      <c r="B28" s="20"/>
      <c r="C28" s="20"/>
      <c r="D28" s="47"/>
      <c r="E28" s="47"/>
      <c r="F28" s="47"/>
      <c r="G28" s="47"/>
      <c r="H28" s="47"/>
      <c r="I28" s="47"/>
      <c r="J28" s="47"/>
      <c r="K28" s="47"/>
      <c r="L28" s="47"/>
      <c r="M28" s="48"/>
      <c r="N28" s="47"/>
      <c r="O28" s="47"/>
      <c r="P28" s="47"/>
      <c r="Q28" s="47"/>
      <c r="R28" s="48"/>
      <c r="S28" s="47"/>
      <c r="T28" s="47"/>
      <c r="U28" s="47"/>
      <c r="V28" s="47"/>
      <c r="W28" s="45"/>
    </row>
    <row r="29" spans="1:23" ht="15.75">
      <c r="A29" s="23" t="s">
        <v>71</v>
      </c>
      <c r="B29" s="20" t="s">
        <v>72</v>
      </c>
      <c r="C29" s="20"/>
      <c r="D29" s="46">
        <v>0.16038065000000001</v>
      </c>
      <c r="E29" s="46">
        <v>0.15102372999999999</v>
      </c>
      <c r="F29" s="46">
        <v>0.14461710999999999</v>
      </c>
      <c r="G29" s="46">
        <v>0.13953792000000001</v>
      </c>
      <c r="H29" s="47"/>
      <c r="I29" s="46">
        <v>0.16102653</v>
      </c>
      <c r="J29" s="46">
        <v>0.15128322</v>
      </c>
      <c r="K29" s="46">
        <v>0.14527403</v>
      </c>
      <c r="L29" s="46">
        <v>0.14101215</v>
      </c>
      <c r="M29" s="48"/>
      <c r="N29" s="46">
        <v>0.15793188999999999</v>
      </c>
      <c r="O29" s="50">
        <v>0.14831253999999999</v>
      </c>
      <c r="P29" s="50">
        <v>0.14242077</v>
      </c>
      <c r="Q29" s="50">
        <v>0.13823732</v>
      </c>
      <c r="R29" s="48"/>
      <c r="S29" s="46">
        <v>0.15847750999999999</v>
      </c>
      <c r="T29" s="46">
        <v>0.14920206999999999</v>
      </c>
      <c r="U29" s="46">
        <v>0.14351725000000001</v>
      </c>
      <c r="V29" s="46">
        <v>0.13937747</v>
      </c>
      <c r="W29" s="45"/>
    </row>
    <row r="30" spans="1:23">
      <c r="A30" s="51"/>
      <c r="B30" s="20"/>
      <c r="C30" s="20"/>
      <c r="D30" s="47"/>
      <c r="E30" s="47"/>
      <c r="F30" s="47"/>
      <c r="G30" s="47"/>
      <c r="H30" s="47"/>
      <c r="I30" s="47"/>
      <c r="J30" s="47"/>
      <c r="K30" s="47"/>
      <c r="L30" s="47"/>
      <c r="M30" s="48"/>
      <c r="N30" s="47"/>
      <c r="O30" s="47"/>
      <c r="P30" s="47"/>
      <c r="Q30" s="47"/>
      <c r="R30" s="48"/>
      <c r="S30" s="47"/>
      <c r="T30" s="47"/>
      <c r="U30" s="47"/>
      <c r="V30" s="47"/>
      <c r="W30" s="45"/>
    </row>
    <row r="31" spans="1:23" ht="15.75">
      <c r="A31" s="32"/>
      <c r="B31" s="33" t="s">
        <v>73</v>
      </c>
      <c r="C31" s="33"/>
      <c r="D31" s="52">
        <f>SUM(D15:D18)+D27+D29</f>
        <v>3.5979215175000001</v>
      </c>
      <c r="E31" s="52">
        <f>SUM(E15:E18)+E27+E29</f>
        <v>3.5879011777000001</v>
      </c>
      <c r="F31" s="52">
        <f>SUM(F15:F18)+F27+F29</f>
        <v>3.6041825169999999</v>
      </c>
      <c r="G31" s="52">
        <f>SUM(G15:G18)+G27+G29</f>
        <v>3.6359779329999999</v>
      </c>
      <c r="H31" s="47"/>
      <c r="I31" s="52">
        <f>SUM(I15:I18)+I27+I29</f>
        <v>3.5759046766</v>
      </c>
      <c r="J31" s="52">
        <f>SUM(J15:J18)+J27+J29</f>
        <v>3.5826765496999995</v>
      </c>
      <c r="K31" s="52">
        <f>SUM(K15:K18)+K27+K29</f>
        <v>3.582824054</v>
      </c>
      <c r="L31" s="52">
        <f>SUM(L15:L18)+L27+L29</f>
        <v>3.5786826969999996</v>
      </c>
      <c r="M31" s="48"/>
      <c r="N31" s="52">
        <f>SUM(N15:N18)+N27+N29</f>
        <v>3.5800223076057001</v>
      </c>
      <c r="O31" s="52">
        <f>SUM(O15:O18)+O27+O29</f>
        <v>3.5874420626550001</v>
      </c>
      <c r="P31" s="52">
        <f>SUM(P15:P18)+P27+P29</f>
        <v>3.5878172250000002</v>
      </c>
      <c r="Q31" s="52">
        <f>SUM(Q15:Q18)+Q27+Q29</f>
        <v>3.58423903</v>
      </c>
      <c r="R31" s="48"/>
      <c r="S31" s="52">
        <f>SUM(S15:S18)+S27+S29</f>
        <v>3.5797426228</v>
      </c>
      <c r="T31" s="52">
        <f>SUM(T15:T18)+T27+T29</f>
        <v>3.5862883229479996</v>
      </c>
      <c r="U31" s="52">
        <f>SUM(U15:U18)+U27+U29</f>
        <v>3.5855600539999997</v>
      </c>
      <c r="V31" s="52">
        <f>SUM(V15:V18)+V27+V29</f>
        <v>3.5809606764639996</v>
      </c>
      <c r="W31" s="45"/>
    </row>
    <row r="32" spans="1:23">
      <c r="A32" s="35"/>
      <c r="B32" s="33"/>
      <c r="C32" s="33"/>
      <c r="D32" s="52"/>
      <c r="E32" s="52"/>
      <c r="F32" s="52"/>
      <c r="G32" s="52"/>
      <c r="H32" s="47"/>
      <c r="I32" s="52"/>
      <c r="J32" s="52"/>
      <c r="K32" s="52"/>
      <c r="L32" s="52"/>
      <c r="M32" s="48"/>
      <c r="N32" s="52"/>
      <c r="O32" s="52"/>
      <c r="P32" s="52"/>
      <c r="Q32" s="52"/>
      <c r="R32" s="48"/>
      <c r="S32" s="52"/>
      <c r="T32" s="52"/>
      <c r="U32" s="52"/>
      <c r="V32" s="52"/>
      <c r="W32" s="45"/>
    </row>
    <row r="33" spans="1:23">
      <c r="A33" s="1" t="s">
        <v>74</v>
      </c>
      <c r="B33" s="1"/>
      <c r="C33" s="45"/>
      <c r="D33" s="45"/>
      <c r="E33" s="53"/>
      <c r="F33" s="53"/>
      <c r="G33" s="53"/>
      <c r="H33" s="47"/>
      <c r="I33" s="53"/>
      <c r="J33" s="53"/>
      <c r="K33" s="53"/>
      <c r="L33" s="53"/>
      <c r="M33" s="48"/>
      <c r="N33" s="53"/>
      <c r="O33" s="53"/>
      <c r="P33" s="53"/>
      <c r="Q33" s="53"/>
      <c r="R33" s="48"/>
      <c r="S33" s="53"/>
      <c r="T33" s="53"/>
      <c r="U33" s="53"/>
      <c r="V33" s="53"/>
      <c r="W33" s="45"/>
    </row>
    <row r="34" spans="1:23" ht="15.75">
      <c r="A34" s="45"/>
      <c r="B34" s="20" t="s">
        <v>83</v>
      </c>
      <c r="C34" s="45"/>
      <c r="D34" s="54">
        <f>(D4*D9 - D15)/(D4*D9)</f>
        <v>0.96068065599999997</v>
      </c>
      <c r="E34" s="54">
        <f>(E4*E9 - E15)/(E4*E9)</f>
        <v>0.96324774699999993</v>
      </c>
      <c r="F34" s="54">
        <f>(F4*F9 - F15)/(F4*F9)</f>
        <v>0.96257869299999999</v>
      </c>
      <c r="G34" s="54">
        <f>(G4*G9 - G15)/(G4*G9)</f>
        <v>0.96026459199999992</v>
      </c>
      <c r="H34" s="47"/>
      <c r="I34" s="54">
        <f>(I4*I9 - I15)/(I4*I9)</f>
        <v>0.96426024100000007</v>
      </c>
      <c r="J34" s="54">
        <f>(J4*J9 - J15)/(J4*J9)</f>
        <v>0.96481193500000006</v>
      </c>
      <c r="K34" s="54">
        <f>(K4*K9 - K15)/(K4*K9)</f>
        <v>0.96699363699999996</v>
      </c>
      <c r="L34" s="54">
        <f>(L4*L9 - L15)/(L4*L9)</f>
        <v>0.97044198429999995</v>
      </c>
      <c r="M34" s="48"/>
      <c r="N34" s="54">
        <f>(N4*N9 - N15)/(N4*N9)</f>
        <v>0.96580303000000001</v>
      </c>
      <c r="O34" s="40">
        <f>(O4*O9 - O15)/(O4*O9)</f>
        <v>0.96886790200000006</v>
      </c>
      <c r="P34" s="40">
        <f>(P4*P9 - P15)/(P4*P9)</f>
        <v>0.97266257410000001</v>
      </c>
      <c r="Q34" s="40">
        <f>(Q4*Q9 - Q15)/(Q4*Q9)</f>
        <v>0.97699311700000002</v>
      </c>
      <c r="R34" s="48"/>
      <c r="S34" s="54">
        <f>(S4*S9 - S15)/(S4*S9)</f>
        <v>0.96788880399999999</v>
      </c>
      <c r="T34" s="54">
        <f>(T4*T9 - T15)/(T4*T9)</f>
        <v>0.97300605910000004</v>
      </c>
      <c r="U34" s="54">
        <f>(U4*U9 - U15)/(U4*U9)</f>
        <v>0.97843325740000009</v>
      </c>
      <c r="V34" s="54">
        <f>(V4*V9 - V15)/(V4*V9)</f>
        <v>0.98340402910000002</v>
      </c>
      <c r="W34" s="45"/>
    </row>
    <row r="35" spans="1:23">
      <c r="A35" s="45"/>
      <c r="B35" s="45"/>
      <c r="C35" s="45"/>
      <c r="D35" s="53"/>
      <c r="E35" s="53"/>
      <c r="F35" s="53"/>
      <c r="G35" s="53"/>
      <c r="H35" s="47"/>
      <c r="I35" s="53"/>
      <c r="J35" s="53"/>
      <c r="K35" s="53"/>
      <c r="L35" s="53"/>
      <c r="M35" s="48"/>
      <c r="N35" s="53"/>
      <c r="O35" s="53"/>
      <c r="P35" s="53"/>
      <c r="Q35" s="53"/>
      <c r="R35" s="48"/>
      <c r="S35" s="53"/>
      <c r="T35" s="53"/>
      <c r="U35" s="53"/>
      <c r="V35" s="53"/>
      <c r="W35" s="45"/>
    </row>
    <row r="36" spans="1:23" ht="15.75">
      <c r="A36" s="45"/>
      <c r="B36" s="45" t="s">
        <v>76</v>
      </c>
      <c r="C36" s="45"/>
      <c r="D36" s="53">
        <f>D29/D27</f>
        <v>1.9349666941377017</v>
      </c>
      <c r="E36" s="53">
        <f>E29/E27</f>
        <v>1.4529026521350743</v>
      </c>
      <c r="F36" s="53">
        <f>F29/F27</f>
        <v>1.235867030732009</v>
      </c>
      <c r="G36" s="53">
        <f>G29/G27</f>
        <v>1.1056216134831687</v>
      </c>
      <c r="H36" s="47"/>
      <c r="I36" s="53">
        <f>I29/I27</f>
        <v>1.9387961353603655</v>
      </c>
      <c r="J36" s="53">
        <f>J29/J27</f>
        <v>1.4555021674330835</v>
      </c>
      <c r="K36" s="53">
        <f>K29/K27</f>
        <v>1.2389326818117175</v>
      </c>
      <c r="L36" s="53">
        <f>L29/L27</f>
        <v>1.1098134583210366</v>
      </c>
      <c r="M36" s="48"/>
      <c r="N36" s="53">
        <f>N29/N27</f>
        <v>1.7462541042091786</v>
      </c>
      <c r="O36" s="53">
        <f>O29/O27</f>
        <v>1.3207547438647935</v>
      </c>
      <c r="P36" s="53">
        <f>P29/P27</f>
        <v>1.1288692652808141</v>
      </c>
      <c r="Q36" s="53">
        <f>Q29/Q27</f>
        <v>1.0140486235325121</v>
      </c>
      <c r="R36" s="48"/>
      <c r="S36" s="53">
        <f>S29/S27</f>
        <v>1.758239089937834</v>
      </c>
      <c r="T36" s="53">
        <f>T29/T27</f>
        <v>1.3322210989178656</v>
      </c>
      <c r="U36" s="53">
        <f>U29/U27</f>
        <v>1.1394184770472007</v>
      </c>
      <c r="V36" s="53">
        <f>V29/V27</f>
        <v>1.0237118607618483</v>
      </c>
      <c r="W36" s="45"/>
    </row>
    <row r="37" spans="1:23">
      <c r="A37" s="45"/>
      <c r="B37" s="45" t="s">
        <v>77</v>
      </c>
      <c r="C37" s="45"/>
      <c r="D37" s="53"/>
      <c r="E37" s="53"/>
      <c r="F37" s="53"/>
      <c r="G37" s="53"/>
      <c r="H37" s="47"/>
      <c r="I37" s="53"/>
      <c r="J37" s="53"/>
      <c r="K37" s="53"/>
      <c r="L37" s="53"/>
      <c r="M37" s="48"/>
      <c r="N37" s="53"/>
      <c r="O37" s="53"/>
      <c r="P37" s="53"/>
      <c r="Q37" s="53"/>
      <c r="R37" s="48"/>
      <c r="S37" s="53"/>
      <c r="T37" s="53"/>
      <c r="U37" s="53"/>
      <c r="V37" s="53"/>
      <c r="W37" s="45"/>
    </row>
    <row r="38" spans="1:23">
      <c r="A38" s="45"/>
      <c r="B38" s="45"/>
      <c r="C38" s="11" t="s">
        <v>78</v>
      </c>
      <c r="D38" s="53">
        <f>5*D20+6*D21+7*D22+8*D23+9*D24+10*D25+11*D26</f>
        <v>0.63494885150000002</v>
      </c>
      <c r="E38" s="53">
        <f>5*E20+6*E21+7*E22+8*E23+9*E24+10*E25+11*E26</f>
        <v>0.78966966800000005</v>
      </c>
      <c r="F38" s="53">
        <f>5*F20+6*F21+7*F22+8*F23+9*F24+10*F25+11*F26</f>
        <v>0.88403494999999999</v>
      </c>
      <c r="G38" s="53">
        <f>5*G20+6*G21+7*G22+8*G23+9*G24+10*G25+11*G26</f>
        <v>0.94940423100000004</v>
      </c>
      <c r="H38" s="47"/>
      <c r="I38" s="53">
        <f>5*I20+6*I21+7*I22+8*I23+9*I24+10*I25+11*I26</f>
        <v>0.63626621240000003</v>
      </c>
      <c r="J38" s="53">
        <f>5*J20+6*J21+7*J22+8*J23+9*J24+10*J25+11*J26</f>
        <v>0.78962937899999996</v>
      </c>
      <c r="K38" s="53">
        <f>5*K20+6*K21+7*K22+8*K23+9*K24+10*K25+11*K26</f>
        <v>0.88588693099999993</v>
      </c>
      <c r="L38" s="53">
        <f>5*L20+6*L21+7*L22+8*L23+9*L24+10*L25+11*L26</f>
        <v>0.95589011400000001</v>
      </c>
      <c r="M38" s="48"/>
      <c r="N38" s="53">
        <f>5*N20+6*N21+7*N22+8*N23+9*N24+10*N25+11*N26</f>
        <v>0.69074304600000003</v>
      </c>
      <c r="O38" s="53">
        <f>5*O20+6*O21+7*O22+8*O23+9*O24+10*O25+11*O26</f>
        <v>0.85003653200000007</v>
      </c>
      <c r="P38" s="53">
        <f>5*P20+6*P21+7*P22+8*P23+9*P24+10*P25+11*P26</f>
        <v>0.94937705699999986</v>
      </c>
      <c r="Q38" s="53">
        <f>5*Q20+6*Q21+7*Q22+8*Q23+9*Q24+10*Q25+11*Q26</f>
        <v>1.0211927119999999</v>
      </c>
      <c r="R38" s="48"/>
      <c r="S38" s="53">
        <f>5*S20+6*S21+7*S22+8*S23+9*S24+10*S25+11*S26</f>
        <v>0.68845342460000003</v>
      </c>
      <c r="T38" s="53">
        <f>5*T20+6*T21+7*T22+8*T23+9*T24+10*T25+11*T26</f>
        <v>0.84784795499999999</v>
      </c>
      <c r="U38" s="53">
        <f>5*U20+6*U21+7*U22+8*U23+9*U24+10*U25+11*U26</f>
        <v>0.94792103500000013</v>
      </c>
      <c r="V38" s="53">
        <f>5*V20+6*V21+7*V22+8*V23+9*V24+10*V25+11*V26</f>
        <v>1.0199997289999998</v>
      </c>
      <c r="W38" s="45"/>
    </row>
    <row r="39" spans="1:23">
      <c r="A39" s="11"/>
      <c r="B39" s="22" t="s">
        <v>32</v>
      </c>
      <c r="C39" s="11" t="s">
        <v>79</v>
      </c>
      <c r="D39" s="53">
        <f>D10</f>
        <v>3.333333333333333</v>
      </c>
      <c r="E39" s="53">
        <f>E10</f>
        <v>3.333333333333333</v>
      </c>
      <c r="F39" s="53">
        <f>F10</f>
        <v>3.333333333333333</v>
      </c>
      <c r="G39" s="53">
        <f>G10</f>
        <v>3.333333333333333</v>
      </c>
      <c r="H39" s="47"/>
      <c r="I39" s="53">
        <f>I10</f>
        <v>3.333333333333333</v>
      </c>
      <c r="J39" s="53">
        <f>J10</f>
        <v>3.333333333333333</v>
      </c>
      <c r="K39" s="53">
        <f>K10</f>
        <v>3.333333333333333</v>
      </c>
      <c r="L39" s="53">
        <f>L10</f>
        <v>3.333333333333333</v>
      </c>
      <c r="M39" s="48"/>
      <c r="N39" s="53">
        <f>N10</f>
        <v>3.333333333333333</v>
      </c>
      <c r="O39" s="53">
        <f>O10</f>
        <v>3.333333333333333</v>
      </c>
      <c r="P39" s="53">
        <f>P10</f>
        <v>3.333333333333333</v>
      </c>
      <c r="Q39" s="53">
        <f>Q10</f>
        <v>3.333333333333333</v>
      </c>
      <c r="R39" s="48"/>
      <c r="S39" s="53">
        <f>S10</f>
        <v>3.333333333333333</v>
      </c>
      <c r="T39" s="53">
        <f>T10</f>
        <v>3.333333333333333</v>
      </c>
      <c r="U39" s="53">
        <f>U10</f>
        <v>3.333333333333333</v>
      </c>
      <c r="V39" s="53">
        <f>V10</f>
        <v>3.333333333333333</v>
      </c>
      <c r="W39" s="45"/>
    </row>
    <row r="40" spans="1:23" ht="15.75">
      <c r="A40" s="45"/>
      <c r="B40" s="11" t="s">
        <v>80</v>
      </c>
      <c r="C40" s="11" t="s">
        <v>81</v>
      </c>
      <c r="D40" s="54">
        <f>D38/D39</f>
        <v>0.19048465545000001</v>
      </c>
      <c r="E40" s="54">
        <f>E38/E39</f>
        <v>0.23690090040000003</v>
      </c>
      <c r="F40" s="54">
        <f>F38/F39</f>
        <v>0.265210485</v>
      </c>
      <c r="G40" s="54">
        <f>G38/G39</f>
        <v>0.28482126930000001</v>
      </c>
      <c r="H40" s="47"/>
      <c r="I40" s="41">
        <f>I38/I39</f>
        <v>0.19087986372000001</v>
      </c>
      <c r="J40" s="41">
        <f>J38/J39</f>
        <v>0.23688881370000001</v>
      </c>
      <c r="K40" s="41">
        <f>K38/K39</f>
        <v>0.26576607930000001</v>
      </c>
      <c r="L40" s="41">
        <f>L38/L39</f>
        <v>0.28676703420000005</v>
      </c>
      <c r="M40" s="48"/>
      <c r="N40" s="54">
        <f>N38/N39</f>
        <v>0.20722291380000002</v>
      </c>
      <c r="O40" s="42">
        <f>O38/O39</f>
        <v>0.25501095960000003</v>
      </c>
      <c r="P40" s="42">
        <f>P38/P39</f>
        <v>0.28481311709999996</v>
      </c>
      <c r="Q40" s="42">
        <f>Q38/Q39</f>
        <v>0.30635781360000003</v>
      </c>
      <c r="R40" s="47"/>
      <c r="S40" s="54">
        <f>S38/S39</f>
        <v>0.20653602738000001</v>
      </c>
      <c r="T40" s="54">
        <f>T38/T39</f>
        <v>0.25435438650000003</v>
      </c>
      <c r="U40" s="54">
        <f>U38/U39</f>
        <v>0.28437631050000006</v>
      </c>
      <c r="V40" s="54">
        <f>V38/V39</f>
        <v>0.30599991869999998</v>
      </c>
      <c r="W40" s="45"/>
    </row>
    <row r="41" spans="1:23">
      <c r="A41" s="45"/>
      <c r="B41" s="45"/>
      <c r="C41" s="45"/>
      <c r="D41" s="53"/>
      <c r="E41" s="53"/>
      <c r="F41" s="53"/>
      <c r="G41" s="53"/>
      <c r="H41" s="47"/>
      <c r="I41" s="53"/>
      <c r="J41" s="53"/>
      <c r="K41" s="53"/>
      <c r="L41" s="53"/>
      <c r="M41" s="48"/>
      <c r="N41" s="53"/>
      <c r="O41" s="53"/>
      <c r="P41" s="53"/>
      <c r="Q41" s="53"/>
      <c r="R41" s="48"/>
      <c r="S41" s="53"/>
      <c r="T41" s="53"/>
      <c r="U41" s="53"/>
      <c r="V41" s="53"/>
      <c r="W41" s="45"/>
    </row>
    <row r="42" spans="1:23">
      <c r="A42" s="45"/>
      <c r="B42" s="45"/>
      <c r="C42" s="45"/>
      <c r="D42" s="53"/>
      <c r="E42" s="53"/>
      <c r="F42" s="53"/>
      <c r="G42" s="53"/>
      <c r="H42" s="47"/>
      <c r="I42" s="53"/>
      <c r="J42" s="53"/>
      <c r="K42" s="53"/>
      <c r="L42" s="53"/>
      <c r="M42" s="48"/>
      <c r="N42" s="53"/>
      <c r="O42" s="53"/>
      <c r="P42" s="53"/>
      <c r="Q42" s="53"/>
      <c r="R42" s="48"/>
      <c r="S42" s="53"/>
      <c r="T42" s="53"/>
      <c r="U42" s="53"/>
      <c r="V42" s="53"/>
      <c r="W42" s="45"/>
    </row>
    <row r="43" spans="1:23">
      <c r="A43" s="45"/>
      <c r="B43" s="45"/>
      <c r="C43" s="11" t="s">
        <v>78</v>
      </c>
      <c r="D43" s="53">
        <f>D38</f>
        <v>0.63494885150000002</v>
      </c>
      <c r="E43" s="53">
        <f>E38</f>
        <v>0.78966966800000005</v>
      </c>
      <c r="F43" s="53">
        <f>F38</f>
        <v>0.88403494999999999</v>
      </c>
      <c r="G43" s="53">
        <f>G38</f>
        <v>0.94940423100000004</v>
      </c>
      <c r="H43" s="47"/>
      <c r="I43" s="53">
        <f>I38</f>
        <v>0.63626621240000003</v>
      </c>
      <c r="J43" s="53">
        <f>J38</f>
        <v>0.78962937899999996</v>
      </c>
      <c r="K43" s="53">
        <f>K38</f>
        <v>0.88588693099999993</v>
      </c>
      <c r="L43" s="53">
        <f>L38</f>
        <v>0.95589011400000001</v>
      </c>
      <c r="M43" s="48"/>
      <c r="N43" s="53">
        <f>N38</f>
        <v>0.69074304600000003</v>
      </c>
      <c r="O43" s="53">
        <f>O38</f>
        <v>0.85003653200000007</v>
      </c>
      <c r="P43" s="53">
        <f>P38</f>
        <v>0.94937705699999986</v>
      </c>
      <c r="Q43" s="53">
        <f>Q38</f>
        <v>1.0211927119999999</v>
      </c>
      <c r="R43" s="48"/>
      <c r="S43" s="53">
        <f>S38</f>
        <v>0.68845342460000003</v>
      </c>
      <c r="T43" s="53">
        <f>T38</f>
        <v>0.84784795499999999</v>
      </c>
      <c r="U43" s="53">
        <f>U38</f>
        <v>0.94792103500000013</v>
      </c>
      <c r="V43" s="53">
        <f>V38</f>
        <v>1.0199997289999998</v>
      </c>
      <c r="W43" s="45"/>
    </row>
    <row r="44" spans="1:23">
      <c r="A44" s="45"/>
      <c r="B44" s="43" t="s">
        <v>32</v>
      </c>
      <c r="C44" s="11" t="s">
        <v>79</v>
      </c>
      <c r="D44" s="53">
        <f>D39*D34</f>
        <v>3.202268853333333</v>
      </c>
      <c r="E44" s="53">
        <f>E39*E34</f>
        <v>3.2108258233333329</v>
      </c>
      <c r="F44" s="53">
        <f>F39*F34</f>
        <v>3.2085956433333331</v>
      </c>
      <c r="G44" s="53">
        <f>G39*G34</f>
        <v>3.2008819733333329</v>
      </c>
      <c r="H44" s="47"/>
      <c r="I44" s="53">
        <f>I39*I34</f>
        <v>3.2142008033333331</v>
      </c>
      <c r="J44" s="53">
        <f>J39*J34</f>
        <v>3.2160397833333332</v>
      </c>
      <c r="K44" s="53">
        <f>K39*K34</f>
        <v>3.2233121233333328</v>
      </c>
      <c r="L44" s="53">
        <f>L39*L34</f>
        <v>3.2348066143333329</v>
      </c>
      <c r="M44" s="48"/>
      <c r="N44" s="53">
        <f>N39*N34</f>
        <v>3.2193434333333331</v>
      </c>
      <c r="O44" s="53">
        <f>O39*O34</f>
        <v>3.2295596733333332</v>
      </c>
      <c r="P44" s="53">
        <f>P39*P34</f>
        <v>3.2422085803333331</v>
      </c>
      <c r="Q44" s="53">
        <f>Q39*Q34</f>
        <v>3.2566437233333332</v>
      </c>
      <c r="R44" s="48"/>
      <c r="S44" s="53">
        <f>S39*S34</f>
        <v>3.2262960133333332</v>
      </c>
      <c r="T44" s="53">
        <f>T39*T34</f>
        <v>3.2433535303333332</v>
      </c>
      <c r="U44" s="53">
        <f>U39*U34</f>
        <v>3.2614441913333332</v>
      </c>
      <c r="V44" s="53">
        <f>V39*V34</f>
        <v>3.278013430333333</v>
      </c>
      <c r="W44" s="45"/>
    </row>
    <row r="45" spans="1:23" ht="15.75">
      <c r="A45" s="45"/>
      <c r="B45" s="11" t="s">
        <v>82</v>
      </c>
      <c r="C45" s="11" t="s">
        <v>81</v>
      </c>
      <c r="D45" s="54">
        <f>D43/D44</f>
        <v>0.19828093160855736</v>
      </c>
      <c r="E45" s="54">
        <f>E43/E44</f>
        <v>0.245939739945221</v>
      </c>
      <c r="F45" s="54">
        <f>F43/F44</f>
        <v>0.27552083474176797</v>
      </c>
      <c r="G45" s="54">
        <f>G43/G44</f>
        <v>0.29660707233491335</v>
      </c>
      <c r="H45" s="47"/>
      <c r="I45" s="54">
        <f>I43/I44</f>
        <v>0.19795471762067604</v>
      </c>
      <c r="J45" s="54">
        <f>J43/J44</f>
        <v>0.24552848602562116</v>
      </c>
      <c r="K45" s="54">
        <f>K43/K44</f>
        <v>0.27483746441653167</v>
      </c>
      <c r="L45" s="54">
        <f>L43/L44</f>
        <v>0.29550147132891313</v>
      </c>
      <c r="M45" s="48"/>
      <c r="N45" s="54">
        <f>N43/N44</f>
        <v>0.21456022332006974</v>
      </c>
      <c r="O45" s="54">
        <f>O43/O44</f>
        <v>0.26320508613567428</v>
      </c>
      <c r="P45" s="54">
        <f>P43/P44</f>
        <v>0.29281800768733823</v>
      </c>
      <c r="Q45" s="54">
        <f>Q43/Q44</f>
        <v>0.31357213092832875</v>
      </c>
      <c r="R45" s="47"/>
      <c r="S45" s="54">
        <f>S43/S44</f>
        <v>0.21338817695426099</v>
      </c>
      <c r="T45" s="54">
        <f>T43/T44</f>
        <v>0.26141089679880292</v>
      </c>
      <c r="U45" s="54">
        <f>U43/U44</f>
        <v>0.29064456706600095</v>
      </c>
      <c r="V45" s="54">
        <f>V43/V44</f>
        <v>0.31116398717630589</v>
      </c>
      <c r="W45" s="45"/>
    </row>
    <row r="46" spans="1:23">
      <c r="A46" s="45"/>
      <c r="B46" s="11"/>
      <c r="C46" s="11"/>
      <c r="D46" s="54"/>
      <c r="E46" s="54"/>
      <c r="F46" s="54"/>
      <c r="G46" s="54"/>
      <c r="H46" s="47"/>
      <c r="I46" s="54"/>
      <c r="J46" s="54"/>
      <c r="K46" s="54"/>
      <c r="L46" s="54"/>
      <c r="M46" s="48"/>
      <c r="N46" s="54"/>
      <c r="O46" s="54"/>
      <c r="P46" s="54"/>
      <c r="Q46" s="54"/>
      <c r="R46" s="47"/>
      <c r="S46" s="54"/>
      <c r="T46" s="54"/>
      <c r="U46" s="54"/>
      <c r="V46" s="54"/>
      <c r="W46" s="45"/>
    </row>
    <row r="47" spans="1:23">
      <c r="A47" s="45"/>
      <c r="B47" s="45"/>
      <c r="C47" s="11" t="s">
        <v>98</v>
      </c>
      <c r="D47" s="53">
        <f t="shared" ref="D47:G52" si="0">D21/D20</f>
        <v>0.9180986755513727</v>
      </c>
      <c r="E47" s="53">
        <f t="shared" si="0"/>
        <v>0.90325850559744902</v>
      </c>
      <c r="F47" s="53">
        <f t="shared" si="0"/>
        <v>0.89350206862983683</v>
      </c>
      <c r="G47" s="53">
        <f t="shared" si="0"/>
        <v>0.88607380524977519</v>
      </c>
      <c r="H47" s="47"/>
      <c r="I47" s="53">
        <f t="shared" ref="I47:L52" si="1">I21/I20</f>
        <v>0.91815064104091759</v>
      </c>
      <c r="J47" s="53">
        <f t="shared" si="1"/>
        <v>0.90328940756749065</v>
      </c>
      <c r="K47" s="53">
        <f t="shared" si="1"/>
        <v>0.89356248384583081</v>
      </c>
      <c r="L47" s="53">
        <f t="shared" si="1"/>
        <v>0.8862079297868265</v>
      </c>
      <c r="M47" s="48"/>
      <c r="N47" s="53">
        <f t="shared" ref="N47:Q52" si="2">N21/N20</f>
        <v>0.91269519488024886</v>
      </c>
      <c r="O47" s="53">
        <f t="shared" si="2"/>
        <v>0.8969259779016443</v>
      </c>
      <c r="P47" s="53">
        <f t="shared" si="2"/>
        <v>0.88659772554574712</v>
      </c>
      <c r="Q47" s="53">
        <f t="shared" si="2"/>
        <v>0.87877174694815441</v>
      </c>
      <c r="R47" s="48"/>
      <c r="S47" s="53">
        <f t="shared" ref="S47:V52" si="3">S21/S20</f>
        <v>0.91280653656339539</v>
      </c>
      <c r="T47" s="53">
        <f t="shared" si="3"/>
        <v>0.8970537823217144</v>
      </c>
      <c r="U47" s="53">
        <f t="shared" si="3"/>
        <v>0.88673773640155018</v>
      </c>
      <c r="V47" s="53">
        <f t="shared" si="3"/>
        <v>0.87891396633508756</v>
      </c>
      <c r="W47" s="45"/>
    </row>
    <row r="48" spans="1:23" ht="18.75" customHeight="1">
      <c r="A48" s="45"/>
      <c r="C48" s="11" t="s">
        <v>99</v>
      </c>
      <c r="D48" s="53">
        <f t="shared" si="0"/>
        <v>0.91812729001236759</v>
      </c>
      <c r="E48" s="53">
        <f t="shared" si="0"/>
        <v>0.90329947762090346</v>
      </c>
      <c r="F48" s="53">
        <f t="shared" si="0"/>
        <v>0.89355147684434577</v>
      </c>
      <c r="G48" s="53">
        <f t="shared" si="0"/>
        <v>0.88612962647985505</v>
      </c>
      <c r="H48" s="47"/>
      <c r="I48" s="53">
        <f t="shared" si="1"/>
        <v>0.91818047122364788</v>
      </c>
      <c r="J48" s="53">
        <f t="shared" si="1"/>
        <v>0.90333200325950391</v>
      </c>
      <c r="K48" s="53">
        <f t="shared" si="1"/>
        <v>0.89361424890862284</v>
      </c>
      <c r="L48" s="53">
        <f t="shared" si="1"/>
        <v>0.88626745959722208</v>
      </c>
      <c r="M48" s="48"/>
      <c r="N48" s="53">
        <f t="shared" si="2"/>
        <v>0.91273827278112851</v>
      </c>
      <c r="O48" s="53">
        <f t="shared" si="2"/>
        <v>0.89698820352236508</v>
      </c>
      <c r="P48" s="53">
        <f t="shared" si="2"/>
        <v>0.88667236516156467</v>
      </c>
      <c r="Q48" s="53">
        <f t="shared" si="2"/>
        <v>0.87885612111492817</v>
      </c>
      <c r="R48" s="48"/>
      <c r="S48" s="53">
        <f t="shared" si="3"/>
        <v>0.91285549214958783</v>
      </c>
      <c r="T48" s="53">
        <f t="shared" si="3"/>
        <v>0.89712529536312469</v>
      </c>
      <c r="U48" s="53">
        <f t="shared" si="3"/>
        <v>0.88682352788741226</v>
      </c>
      <c r="V48" s="53">
        <f t="shared" si="3"/>
        <v>0.87901092766633038</v>
      </c>
      <c r="W48" s="45"/>
    </row>
    <row r="49" spans="1:23" ht="12.75" customHeight="1">
      <c r="A49" s="45"/>
      <c r="C49" s="11" t="s">
        <v>100</v>
      </c>
      <c r="D49" s="53">
        <f t="shared" si="0"/>
        <v>0.91815634737149621</v>
      </c>
      <c r="E49" s="53">
        <f t="shared" si="0"/>
        <v>0.90334119666516888</v>
      </c>
      <c r="F49" s="53">
        <f t="shared" si="0"/>
        <v>0.89360189324021666</v>
      </c>
      <c r="G49" s="53">
        <f t="shared" si="0"/>
        <v>0.88618654428091492</v>
      </c>
      <c r="H49" s="45"/>
      <c r="I49" s="53">
        <f t="shared" si="1"/>
        <v>0.91821067390937672</v>
      </c>
      <c r="J49" s="53">
        <f t="shared" si="1"/>
        <v>0.90337535805335978</v>
      </c>
      <c r="K49" s="53">
        <f t="shared" si="1"/>
        <v>0.89366704651208739</v>
      </c>
      <c r="L49" s="53">
        <f t="shared" si="1"/>
        <v>0.88632821631143099</v>
      </c>
      <c r="M49" s="45"/>
      <c r="N49" s="53">
        <f t="shared" si="2"/>
        <v>0.91278218995221516</v>
      </c>
      <c r="O49" s="53">
        <f t="shared" si="2"/>
        <v>0.89705223489847297</v>
      </c>
      <c r="P49" s="53">
        <f t="shared" si="2"/>
        <v>0.88674950920113049</v>
      </c>
      <c r="Q49" s="53">
        <f t="shared" si="2"/>
        <v>0.87894373393181269</v>
      </c>
      <c r="R49" s="45"/>
      <c r="S49" s="53">
        <f t="shared" si="3"/>
        <v>0.91290555403448681</v>
      </c>
      <c r="T49" s="53">
        <f t="shared" si="3"/>
        <v>0.89719919683086713</v>
      </c>
      <c r="U49" s="53">
        <f t="shared" si="3"/>
        <v>0.88691273635636803</v>
      </c>
      <c r="V49" s="53">
        <f t="shared" si="3"/>
        <v>0.87911202619649431</v>
      </c>
      <c r="W49" s="45"/>
    </row>
    <row r="50" spans="1:23">
      <c r="A50" s="45"/>
      <c r="C50" s="11" t="s">
        <v>101</v>
      </c>
      <c r="D50" s="53">
        <f t="shared" si="0"/>
        <v>0.91818571577804375</v>
      </c>
      <c r="E50" s="53">
        <f t="shared" si="0"/>
        <v>0.90338352462977323</v>
      </c>
      <c r="F50" s="53">
        <f t="shared" si="0"/>
        <v>0.89365314986583821</v>
      </c>
      <c r="G50" s="53">
        <f t="shared" si="0"/>
        <v>0.88624462214127131</v>
      </c>
      <c r="H50" s="45"/>
      <c r="I50" s="53">
        <f t="shared" si="1"/>
        <v>0.91824132801345737</v>
      </c>
      <c r="J50" s="53">
        <f t="shared" si="1"/>
        <v>0.90341953819101251</v>
      </c>
      <c r="K50" s="53">
        <f t="shared" si="1"/>
        <v>0.89372101705753026</v>
      </c>
      <c r="L50" s="53">
        <f t="shared" si="1"/>
        <v>0.88639040447678563</v>
      </c>
      <c r="M50" s="45"/>
      <c r="N50" s="53">
        <f t="shared" si="2"/>
        <v>0.91282711729733679</v>
      </c>
      <c r="O50" s="53">
        <f t="shared" si="2"/>
        <v>0.89711815039574438</v>
      </c>
      <c r="P50" s="53">
        <f t="shared" si="2"/>
        <v>0.88682937170343668</v>
      </c>
      <c r="Q50" s="53">
        <f t="shared" si="2"/>
        <v>0.87903460152322921</v>
      </c>
      <c r="R50" s="45"/>
      <c r="S50" s="53">
        <f t="shared" si="3"/>
        <v>0.91295680785036437</v>
      </c>
      <c r="T50" s="53">
        <f t="shared" si="3"/>
        <v>0.89727560617775348</v>
      </c>
      <c r="U50" s="53">
        <f t="shared" si="3"/>
        <v>0.88700549363021353</v>
      </c>
      <c r="V50" s="53">
        <f t="shared" si="3"/>
        <v>0.87921750426707912</v>
      </c>
      <c r="W50" s="45"/>
    </row>
    <row r="51" spans="1:23">
      <c r="A51" s="45"/>
      <c r="C51" s="11" t="s">
        <v>102</v>
      </c>
      <c r="D51" s="53">
        <f t="shared" si="0"/>
        <v>0.91821542602587713</v>
      </c>
      <c r="E51" s="53">
        <f t="shared" si="0"/>
        <v>0.90342661062571206</v>
      </c>
      <c r="F51" s="53">
        <f t="shared" si="0"/>
        <v>0.89370539987028652</v>
      </c>
      <c r="G51" s="53">
        <f t="shared" si="0"/>
        <v>0.88630394421777314</v>
      </c>
      <c r="H51" s="45"/>
      <c r="I51" s="53">
        <f t="shared" si="1"/>
        <v>0.91827232908301293</v>
      </c>
      <c r="J51" s="53">
        <f t="shared" si="1"/>
        <v>0.90346446946972236</v>
      </c>
      <c r="K51" s="53">
        <f t="shared" si="1"/>
        <v>0.89377599859043633</v>
      </c>
      <c r="L51" s="53">
        <f t="shared" si="1"/>
        <v>0.88645390182559092</v>
      </c>
      <c r="M51" s="45"/>
      <c r="N51" s="53">
        <f t="shared" si="2"/>
        <v>0.91287298518508808</v>
      </c>
      <c r="O51" s="53">
        <f t="shared" si="2"/>
        <v>0.8971862559845607</v>
      </c>
      <c r="P51" s="53">
        <f t="shared" si="2"/>
        <v>0.8869121174452359</v>
      </c>
      <c r="Q51" s="53">
        <f t="shared" si="2"/>
        <v>0.87912900794019611</v>
      </c>
      <c r="R51" s="45"/>
      <c r="S51" s="53">
        <f t="shared" si="3"/>
        <v>0.9130092676644771</v>
      </c>
      <c r="T51" s="53">
        <f t="shared" si="3"/>
        <v>0.89735471689958501</v>
      </c>
      <c r="U51" s="53">
        <f t="shared" si="3"/>
        <v>0.88710204542775428</v>
      </c>
      <c r="V51" s="53">
        <f t="shared" si="3"/>
        <v>0.8793277274755662</v>
      </c>
      <c r="W51" s="45"/>
    </row>
    <row r="52" spans="1:23">
      <c r="A52" s="45"/>
      <c r="C52" s="11" t="s">
        <v>103</v>
      </c>
      <c r="D52" s="53">
        <f t="shared" si="0"/>
        <v>0.91824554466717012</v>
      </c>
      <c r="E52" s="53">
        <f t="shared" si="0"/>
        <v>0.90347034691339123</v>
      </c>
      <c r="F52" s="53">
        <f t="shared" si="0"/>
        <v>0.89375870258889489</v>
      </c>
      <c r="G52" s="53">
        <f t="shared" si="0"/>
        <v>0.88636457484869047</v>
      </c>
      <c r="H52" s="45"/>
      <c r="I52" s="53">
        <f t="shared" si="1"/>
        <v>0.91830373115160946</v>
      </c>
      <c r="J52" s="53">
        <f t="shared" si="1"/>
        <v>0.90351017879070861</v>
      </c>
      <c r="K52" s="53">
        <f t="shared" si="1"/>
        <v>0.89383221011021141</v>
      </c>
      <c r="L52" s="53">
        <f t="shared" si="1"/>
        <v>0.88651899274637824</v>
      </c>
      <c r="M52" s="45"/>
      <c r="N52" s="53">
        <f t="shared" si="2"/>
        <v>0.91291971672928141</v>
      </c>
      <c r="O52" s="53">
        <f t="shared" si="2"/>
        <v>0.89725632095311503</v>
      </c>
      <c r="P52" s="53">
        <f t="shared" si="2"/>
        <v>0.88699783378067787</v>
      </c>
      <c r="Q52" s="53">
        <f t="shared" si="2"/>
        <v>0.87922728610064738</v>
      </c>
      <c r="R52" s="45"/>
      <c r="S52" s="53">
        <f t="shared" si="3"/>
        <v>0.91306290243858068</v>
      </c>
      <c r="T52" s="53">
        <f t="shared" si="3"/>
        <v>0.89743648842714907</v>
      </c>
      <c r="U52" s="53">
        <f t="shared" si="3"/>
        <v>0.88720260846480392</v>
      </c>
      <c r="V52" s="53">
        <f t="shared" si="3"/>
        <v>0.87944288291092643</v>
      </c>
      <c r="W52" s="45"/>
    </row>
    <row r="53" spans="1:23">
      <c r="A53" s="45"/>
      <c r="C53" s="2" t="s">
        <v>108</v>
      </c>
      <c r="D53" s="53">
        <f>SUM(D47:D52)/6</f>
        <v>0.91817149990105451</v>
      </c>
      <c r="E53" s="53">
        <f>SUM(E47:E52)/6</f>
        <v>0.90336327700873298</v>
      </c>
      <c r="F53" s="53">
        <f>SUM(F47:F52)/6</f>
        <v>0.89362878183990313</v>
      </c>
      <c r="G53" s="53">
        <f>SUM(G47:G52)/6</f>
        <v>0.88621718620304668</v>
      </c>
      <c r="H53" s="45"/>
      <c r="I53" s="53">
        <f>SUM(I47:I52)/6</f>
        <v>0.91822652907033708</v>
      </c>
      <c r="J53" s="53">
        <f>SUM(J47:J52)/6</f>
        <v>0.90339849255529969</v>
      </c>
      <c r="K53" s="53">
        <f>SUM(K47:K52)/6</f>
        <v>0.89369550083745308</v>
      </c>
      <c r="L53" s="53">
        <f>SUM(L47:L52)/6</f>
        <v>0.88636115079070565</v>
      </c>
      <c r="M53" s="45"/>
      <c r="N53" s="53">
        <f>SUM(N47:N52)/6</f>
        <v>0.91280591280421663</v>
      </c>
      <c r="O53" s="53">
        <f>SUM(O47:O52)/6</f>
        <v>0.89708785727598384</v>
      </c>
      <c r="P53" s="53">
        <f>SUM(P47:P52)/6</f>
        <v>0.88679315380629864</v>
      </c>
      <c r="Q53" s="53">
        <f>SUM(Q47:Q52)/6</f>
        <v>0.87899374959316134</v>
      </c>
      <c r="R53" s="45"/>
      <c r="S53" s="53">
        <f>SUM(S47:S52)/6</f>
        <v>0.91293276011681534</v>
      </c>
      <c r="T53" s="53">
        <f>SUM(T47:T52)/6</f>
        <v>0.89724084767003243</v>
      </c>
      <c r="U53" s="53">
        <f>SUM(U47:U52)/6</f>
        <v>0.88696402469468383</v>
      </c>
      <c r="V53" s="53">
        <f>SUM(V47:V52)/6</f>
        <v>0.87917083914191396</v>
      </c>
      <c r="W53" s="45"/>
    </row>
    <row r="54" spans="1:23">
      <c r="A54" s="45"/>
      <c r="B54" s="11"/>
      <c r="C54" s="11"/>
      <c r="D54" s="54"/>
      <c r="E54" s="54"/>
      <c r="F54" s="54"/>
      <c r="G54" s="54"/>
      <c r="H54" s="47"/>
      <c r="I54" s="54"/>
      <c r="J54" s="54"/>
      <c r="K54" s="54"/>
      <c r="L54" s="54"/>
      <c r="M54" s="48"/>
      <c r="N54" s="54"/>
      <c r="O54" s="54"/>
      <c r="P54" s="54"/>
      <c r="Q54" s="54"/>
      <c r="R54" s="47"/>
      <c r="S54" s="54"/>
      <c r="T54" s="54"/>
      <c r="U54" s="54"/>
      <c r="V54" s="54"/>
      <c r="W54" s="45"/>
    </row>
    <row r="55" spans="1:23">
      <c r="A55" s="45"/>
      <c r="B55" s="11"/>
      <c r="C55" s="11"/>
      <c r="D55" s="54"/>
      <c r="E55" s="54"/>
      <c r="F55" s="54"/>
      <c r="G55" s="54"/>
      <c r="H55" s="47"/>
      <c r="I55" s="54"/>
      <c r="J55" s="54"/>
      <c r="K55" s="54"/>
      <c r="L55" s="54"/>
      <c r="M55" s="48"/>
      <c r="N55" s="54"/>
      <c r="O55" s="54"/>
      <c r="P55" s="54"/>
      <c r="Q55" s="54"/>
      <c r="R55" s="47"/>
      <c r="S55" s="54"/>
      <c r="T55" s="54"/>
      <c r="U55" s="54"/>
      <c r="V55" s="54"/>
      <c r="W55" s="45"/>
    </row>
    <row r="56" spans="1:23">
      <c r="A56" s="45"/>
      <c r="B56" s="11"/>
      <c r="C56" s="11"/>
      <c r="D56" s="54"/>
      <c r="E56" s="54"/>
      <c r="F56" s="54"/>
      <c r="G56" s="54"/>
      <c r="H56" s="47"/>
      <c r="I56" s="54"/>
      <c r="J56" s="54"/>
      <c r="K56" s="54"/>
      <c r="L56" s="54"/>
      <c r="M56" s="48"/>
      <c r="N56" s="54"/>
      <c r="O56" s="54"/>
      <c r="P56" s="54"/>
      <c r="Q56" s="54"/>
      <c r="R56" s="47"/>
      <c r="S56" s="54"/>
      <c r="T56" s="54"/>
      <c r="U56" s="54"/>
      <c r="V56" s="54"/>
      <c r="W56" s="45"/>
    </row>
    <row r="57" spans="1:23">
      <c r="A57" s="45"/>
      <c r="B57" s="45"/>
      <c r="C57" s="45"/>
      <c r="D57" s="53"/>
      <c r="E57" s="53"/>
      <c r="F57" s="53"/>
      <c r="G57" s="53"/>
      <c r="H57" s="47"/>
      <c r="I57" s="53"/>
      <c r="J57" s="53"/>
      <c r="K57" s="53"/>
      <c r="L57" s="53"/>
      <c r="M57" s="48"/>
      <c r="N57" s="53"/>
      <c r="O57" s="53"/>
      <c r="P57" s="53"/>
      <c r="Q57" s="53"/>
      <c r="R57" s="48"/>
      <c r="S57" s="53"/>
      <c r="T57" s="53"/>
      <c r="U57" s="53"/>
      <c r="V57" s="53"/>
      <c r="W57" s="45"/>
    </row>
    <row r="58" spans="1:23">
      <c r="A58" s="45"/>
      <c r="B58" s="45"/>
      <c r="C58" s="45"/>
      <c r="D58" s="53"/>
      <c r="E58" s="53"/>
      <c r="F58" s="53"/>
      <c r="G58" s="53"/>
      <c r="H58" s="47"/>
      <c r="I58" s="53"/>
      <c r="J58" s="53"/>
      <c r="K58" s="53"/>
      <c r="L58" s="53"/>
      <c r="M58" s="48"/>
      <c r="N58" s="53"/>
      <c r="O58" s="53"/>
      <c r="P58" s="53"/>
      <c r="Q58" s="53"/>
      <c r="R58" s="48"/>
      <c r="S58" s="53"/>
      <c r="T58" s="53"/>
      <c r="U58" s="53"/>
      <c r="V58" s="53"/>
      <c r="W58" s="45"/>
    </row>
    <row r="59" spans="1:23" ht="18.75" customHeight="1">
      <c r="A59" s="45"/>
      <c r="H59" s="47"/>
      <c r="I59" s="53"/>
      <c r="J59" s="53"/>
      <c r="K59" s="53"/>
      <c r="L59" s="53"/>
      <c r="M59" s="48"/>
      <c r="N59" s="53"/>
      <c r="O59" s="53"/>
      <c r="P59" s="53"/>
      <c r="Q59" s="53"/>
      <c r="R59" s="48"/>
      <c r="S59" s="53"/>
      <c r="T59" s="53"/>
      <c r="U59" s="53"/>
      <c r="V59" s="53"/>
      <c r="W59" s="45"/>
    </row>
    <row r="60" spans="1:23" ht="12.75" customHeight="1">
      <c r="A60" s="45"/>
      <c r="H60" s="45"/>
      <c r="I60" s="45"/>
      <c r="J60" s="45"/>
      <c r="K60" s="45"/>
      <c r="L60" s="45"/>
      <c r="M60" s="45"/>
      <c r="N60" s="45"/>
      <c r="O60" s="45"/>
      <c r="P60" s="45"/>
      <c r="Q60" s="45"/>
      <c r="R60" s="45"/>
      <c r="S60" s="45"/>
      <c r="T60" s="45"/>
      <c r="U60" s="45"/>
      <c r="V60" s="45"/>
      <c r="W60" s="45"/>
    </row>
    <row r="61" spans="1:23">
      <c r="A61" s="45"/>
      <c r="H61" s="45"/>
      <c r="I61" s="45"/>
      <c r="J61" s="45"/>
      <c r="K61" s="45"/>
      <c r="L61" s="45"/>
      <c r="M61" s="45"/>
      <c r="N61" s="45"/>
      <c r="O61" s="45"/>
      <c r="P61" s="45"/>
      <c r="Q61" s="45"/>
      <c r="R61" s="45"/>
      <c r="S61" s="45"/>
      <c r="T61" s="45"/>
      <c r="U61" s="45"/>
      <c r="V61" s="45"/>
      <c r="W61" s="45"/>
    </row>
    <row r="62" spans="1:23">
      <c r="A62" s="45"/>
      <c r="H62" s="45"/>
      <c r="I62" s="45"/>
      <c r="J62" s="45"/>
      <c r="K62" s="45"/>
      <c r="L62" s="45"/>
      <c r="M62" s="45"/>
      <c r="N62" s="45"/>
      <c r="O62" s="45"/>
      <c r="P62" s="45"/>
      <c r="Q62" s="45"/>
      <c r="R62" s="45"/>
      <c r="S62" s="45"/>
      <c r="T62" s="45"/>
      <c r="U62" s="45"/>
      <c r="V62" s="45"/>
      <c r="W62" s="45"/>
    </row>
    <row r="63" spans="1:23">
      <c r="A63" s="45"/>
      <c r="H63" s="45"/>
      <c r="J63" s="45"/>
      <c r="K63" s="45"/>
      <c r="L63" s="45"/>
      <c r="M63" s="45"/>
      <c r="N63" s="45"/>
      <c r="O63" s="45"/>
      <c r="P63" s="45"/>
      <c r="Q63" s="45"/>
      <c r="R63" s="45"/>
      <c r="S63" s="45"/>
      <c r="T63" s="45"/>
      <c r="U63" s="45"/>
      <c r="V63" s="45"/>
      <c r="W63" s="45"/>
    </row>
    <row r="64" spans="1:23" ht="12.75" customHeight="1">
      <c r="A64" s="45"/>
      <c r="B64" s="1"/>
      <c r="C64" s="76" t="s">
        <v>84</v>
      </c>
      <c r="D64" s="76"/>
      <c r="E64" s="76"/>
      <c r="F64" s="76"/>
      <c r="G64" s="76"/>
      <c r="H64" s="45"/>
      <c r="I64" s="45"/>
      <c r="J64" s="45"/>
      <c r="K64" s="45"/>
      <c r="L64" s="45"/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</row>
    <row r="65" spans="1:23">
      <c r="A65" s="45"/>
      <c r="B65" s="45"/>
      <c r="C65" s="46"/>
      <c r="D65" s="45"/>
      <c r="E65" s="45"/>
      <c r="F65" s="45"/>
      <c r="G65" s="45"/>
      <c r="H65" s="45"/>
      <c r="I65" s="45"/>
      <c r="J65" s="45"/>
      <c r="K65" s="45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</row>
    <row r="66" spans="1:23">
      <c r="A66" s="45"/>
      <c r="B66" s="45"/>
      <c r="C66" s="45">
        <v>1.0129999999999999</v>
      </c>
      <c r="D66" s="45">
        <v>2.0259999999999998</v>
      </c>
      <c r="E66" s="45">
        <v>3.0390000000000001</v>
      </c>
      <c r="F66" s="45">
        <v>4.0529999999999999</v>
      </c>
      <c r="G66" s="45"/>
      <c r="H66" s="45"/>
      <c r="I66" s="45"/>
      <c r="J66" s="45"/>
      <c r="K66" s="45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</row>
    <row r="67" spans="1:23">
      <c r="A67" s="45"/>
      <c r="B67" s="1" t="s">
        <v>85</v>
      </c>
      <c r="C67" s="47">
        <f>D27</f>
        <v>8.2885483499999996E-2</v>
      </c>
      <c r="D67" s="47">
        <f>E27</f>
        <v>0.10394621400000001</v>
      </c>
      <c r="E67" s="47">
        <f>F27</f>
        <v>0.11701672300000002</v>
      </c>
      <c r="F67" s="47">
        <f>G27</f>
        <v>0.126207663</v>
      </c>
      <c r="G67" s="45"/>
      <c r="H67" s="45"/>
      <c r="I67" s="45"/>
      <c r="J67" s="45"/>
      <c r="K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</row>
    <row r="68" spans="1:23" ht="14.25">
      <c r="A68" s="45"/>
      <c r="B68" s="1" t="s">
        <v>86</v>
      </c>
      <c r="C68" s="48">
        <f>I27</f>
        <v>8.3054905600000006E-2</v>
      </c>
      <c r="D68" s="48">
        <f>J27</f>
        <v>0.10393884900000001</v>
      </c>
      <c r="E68" s="48">
        <f>K27</f>
        <v>0.117257404</v>
      </c>
      <c r="F68" s="48">
        <f>L27</f>
        <v>0.127059326</v>
      </c>
      <c r="G68" s="45"/>
      <c r="I68" s="1" t="s">
        <v>87</v>
      </c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</row>
    <row r="69" spans="1:23">
      <c r="A69" s="45"/>
      <c r="B69" s="1" t="s">
        <v>88</v>
      </c>
      <c r="C69" s="48">
        <f>N27</f>
        <v>9.0440382999999985E-2</v>
      </c>
      <c r="D69" s="48">
        <f>O27</f>
        <v>0.112293778</v>
      </c>
      <c r="E69" s="48">
        <f>P27</f>
        <v>0.12616232399999999</v>
      </c>
      <c r="F69" s="48">
        <f>Q27</f>
        <v>0.13632218100000001</v>
      </c>
      <c r="G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</row>
    <row r="70" spans="1:23">
      <c r="A70" s="45"/>
      <c r="B70" s="1" t="s">
        <v>89</v>
      </c>
      <c r="C70" s="48">
        <f>S27</f>
        <v>9.0134220600000009E-2</v>
      </c>
      <c r="D70" s="48">
        <f>T27</f>
        <v>0.11199497600000001</v>
      </c>
      <c r="E70" s="48">
        <f>U27</f>
        <v>0.12595657600000001</v>
      </c>
      <c r="F70" s="48">
        <f>V27</f>
        <v>0.13614912099999998</v>
      </c>
      <c r="G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</row>
    <row r="71" spans="1:23">
      <c r="A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</row>
    <row r="72" spans="1:23">
      <c r="A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</row>
    <row r="73" spans="1:23">
      <c r="A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</row>
    <row r="74" spans="1:23">
      <c r="A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</row>
    <row r="75" spans="1:23">
      <c r="A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</row>
    <row r="76" spans="1:23">
      <c r="A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</row>
    <row r="77" spans="1:23">
      <c r="A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</row>
    <row r="78" spans="1:23">
      <c r="A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</row>
    <row r="79" spans="1:23">
      <c r="A79" s="45"/>
      <c r="H79" s="45"/>
      <c r="I79" s="45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</row>
    <row r="80" spans="1:23">
      <c r="A80" s="45"/>
      <c r="H80" s="45"/>
      <c r="I80" s="45"/>
      <c r="J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</row>
    <row r="81" spans="1:23">
      <c r="A81" s="45"/>
      <c r="H81" s="45"/>
      <c r="I81" s="45"/>
      <c r="J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</row>
    <row r="82" spans="1:23">
      <c r="A82" s="45"/>
      <c r="H82" s="45"/>
      <c r="I82" s="45"/>
      <c r="J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</row>
    <row r="83" spans="1:23">
      <c r="A83" s="45"/>
      <c r="B83" s="1"/>
      <c r="C83" s="1" t="s">
        <v>90</v>
      </c>
      <c r="D83" s="45"/>
      <c r="E83" s="45"/>
      <c r="F83" s="45"/>
      <c r="G83" s="45"/>
      <c r="H83" s="45"/>
      <c r="J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</row>
    <row r="84" spans="1:23">
      <c r="A84" s="45"/>
      <c r="B84" s="45"/>
      <c r="C84" s="45"/>
      <c r="D84" s="45"/>
      <c r="E84" s="45"/>
      <c r="F84" s="45"/>
      <c r="G84" s="45"/>
      <c r="H84" s="45"/>
      <c r="I84" s="45"/>
      <c r="J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</row>
    <row r="85" spans="1:23">
      <c r="A85" s="45"/>
      <c r="B85" s="45" t="s">
        <v>91</v>
      </c>
      <c r="C85" s="45">
        <v>1.0129999999999999</v>
      </c>
      <c r="D85" s="45">
        <v>2.0259999999999998</v>
      </c>
      <c r="E85" s="45">
        <v>3.0390000000000001</v>
      </c>
      <c r="F85" s="45">
        <v>4.0529999999999999</v>
      </c>
      <c r="G85" s="45"/>
      <c r="H85" s="45"/>
      <c r="I85" s="45"/>
      <c r="J85" s="45"/>
      <c r="K85" s="45"/>
      <c r="L85" s="45"/>
      <c r="M85" s="45"/>
      <c r="N85" s="45"/>
      <c r="O85" s="45"/>
      <c r="P85" s="45"/>
      <c r="Q85" s="45"/>
      <c r="R85" s="45"/>
      <c r="S85" s="45"/>
      <c r="T85" s="45"/>
      <c r="U85" s="45"/>
      <c r="V85" s="45"/>
      <c r="W85" s="45"/>
    </row>
    <row r="86" spans="1:23">
      <c r="A86" s="45"/>
      <c r="B86" s="1" t="s">
        <v>85</v>
      </c>
      <c r="C86" s="55">
        <f>D40</f>
        <v>0.19048465545000001</v>
      </c>
      <c r="D86" s="55">
        <f>E40</f>
        <v>0.23690090040000003</v>
      </c>
      <c r="E86" s="55">
        <f>F40</f>
        <v>0.265210485</v>
      </c>
      <c r="F86" s="55">
        <f>G40</f>
        <v>0.28482126930000001</v>
      </c>
      <c r="G86" s="45"/>
      <c r="H86" s="45"/>
      <c r="I86" s="45"/>
      <c r="J86" s="45"/>
      <c r="K86" s="45"/>
      <c r="L86" s="45"/>
      <c r="M86" s="45"/>
      <c r="N86" s="45"/>
      <c r="O86" s="45"/>
      <c r="P86" s="45"/>
      <c r="Q86" s="45"/>
      <c r="R86" s="45"/>
      <c r="S86" s="45"/>
      <c r="T86" s="45"/>
      <c r="U86" s="45"/>
      <c r="V86" s="45"/>
      <c r="W86" s="45"/>
    </row>
    <row r="87" spans="1:23" ht="15.75">
      <c r="A87" s="45"/>
      <c r="B87" s="1" t="s">
        <v>86</v>
      </c>
      <c r="C87" s="56">
        <f>I40</f>
        <v>0.19087986372000001</v>
      </c>
      <c r="D87" s="56">
        <f>J40</f>
        <v>0.23688881370000001</v>
      </c>
      <c r="E87" s="56">
        <f>K40</f>
        <v>0.26576607930000001</v>
      </c>
      <c r="F87" s="56">
        <f>L40</f>
        <v>0.28676703420000005</v>
      </c>
      <c r="G87" s="45"/>
      <c r="H87" s="45"/>
      <c r="I87" s="43" t="s">
        <v>80</v>
      </c>
      <c r="J87" s="45"/>
      <c r="K87" s="45"/>
      <c r="L87" s="45"/>
      <c r="M87" s="45"/>
      <c r="N87" s="45"/>
      <c r="O87" s="45"/>
      <c r="P87" s="45"/>
      <c r="Q87" s="45"/>
      <c r="R87" s="45"/>
      <c r="S87" s="45"/>
      <c r="T87" s="45"/>
      <c r="U87" s="45"/>
      <c r="V87" s="45"/>
      <c r="W87" s="45"/>
    </row>
    <row r="88" spans="1:23">
      <c r="A88" s="45"/>
      <c r="B88" s="1" t="s">
        <v>88</v>
      </c>
      <c r="C88" s="56">
        <f>N40</f>
        <v>0.20722291380000002</v>
      </c>
      <c r="D88" s="56">
        <f>O40</f>
        <v>0.25501095960000003</v>
      </c>
      <c r="E88" s="56">
        <f>P40</f>
        <v>0.28481311709999996</v>
      </c>
      <c r="F88" s="56">
        <f>Q40</f>
        <v>0.30635781360000003</v>
      </c>
      <c r="G88" s="45"/>
      <c r="K88" s="45"/>
      <c r="L88" s="45"/>
      <c r="M88" s="45"/>
      <c r="N88" s="45"/>
      <c r="O88" s="45"/>
      <c r="P88" s="45"/>
      <c r="Q88" s="45"/>
      <c r="R88" s="45"/>
      <c r="S88" s="45"/>
      <c r="T88" s="45"/>
      <c r="U88" s="45"/>
      <c r="V88" s="45"/>
      <c r="W88" s="45"/>
    </row>
    <row r="89" spans="1:23">
      <c r="A89" s="45"/>
      <c r="B89" s="1" t="s">
        <v>89</v>
      </c>
      <c r="C89" s="56">
        <f>S40</f>
        <v>0.20653602738000001</v>
      </c>
      <c r="D89" s="56">
        <f>T40</f>
        <v>0.25435438650000003</v>
      </c>
      <c r="E89" s="56">
        <f>U40</f>
        <v>0.28437631050000006</v>
      </c>
      <c r="F89" s="56">
        <f>V40</f>
        <v>0.30599991869999998</v>
      </c>
      <c r="G89" s="45"/>
      <c r="K89" s="45"/>
      <c r="L89" s="45"/>
      <c r="M89" s="45"/>
      <c r="N89" s="45"/>
      <c r="O89" s="45"/>
      <c r="P89" s="45"/>
      <c r="Q89" s="45"/>
      <c r="R89" s="45"/>
      <c r="S89" s="45"/>
      <c r="T89" s="45"/>
      <c r="U89" s="45"/>
      <c r="V89" s="45"/>
      <c r="W89" s="45"/>
    </row>
    <row r="90" spans="1:23">
      <c r="A90" s="45"/>
      <c r="B90" s="45"/>
      <c r="C90" s="45"/>
      <c r="D90" s="45"/>
      <c r="E90" s="45"/>
      <c r="F90" s="45"/>
      <c r="G90" s="45"/>
      <c r="K90" s="45"/>
      <c r="L90" s="45"/>
      <c r="M90" s="45"/>
      <c r="N90" s="45"/>
      <c r="O90" s="45"/>
      <c r="P90" s="45"/>
      <c r="Q90" s="45"/>
      <c r="R90" s="45"/>
      <c r="S90" s="45"/>
      <c r="T90" s="45"/>
      <c r="U90" s="45"/>
      <c r="V90" s="45"/>
      <c r="W90" s="45"/>
    </row>
    <row r="91" spans="1:23">
      <c r="A91" s="45"/>
      <c r="K91" s="45"/>
      <c r="L91" s="45"/>
      <c r="M91" s="45"/>
      <c r="N91" s="45"/>
      <c r="O91" s="45"/>
      <c r="P91" s="45"/>
      <c r="Q91" s="45"/>
      <c r="R91" s="45"/>
      <c r="S91" s="45"/>
      <c r="T91" s="45"/>
      <c r="U91" s="45"/>
      <c r="V91" s="45"/>
      <c r="W91" s="45"/>
    </row>
    <row r="92" spans="1:23">
      <c r="A92" s="45"/>
      <c r="K92" s="45"/>
      <c r="L92" s="45"/>
      <c r="M92" s="45"/>
      <c r="N92" s="45"/>
      <c r="O92" s="45"/>
      <c r="P92" s="45"/>
      <c r="Q92" s="45"/>
      <c r="R92" s="45"/>
      <c r="S92" s="45"/>
      <c r="T92" s="45"/>
      <c r="U92" s="45"/>
      <c r="V92" s="45"/>
      <c r="W92" s="45"/>
    </row>
    <row r="93" spans="1:23">
      <c r="K93" s="45"/>
    </row>
    <row r="94" spans="1:23">
      <c r="K94" s="45"/>
    </row>
    <row r="95" spans="1:23">
      <c r="K95" s="45"/>
    </row>
    <row r="96" spans="1:23">
      <c r="K96" s="45"/>
    </row>
    <row r="97" spans="2:11">
      <c r="K97" s="45"/>
    </row>
    <row r="98" spans="2:11">
      <c r="K98" s="45"/>
    </row>
    <row r="99" spans="2:11">
      <c r="K99" s="45"/>
    </row>
    <row r="100" spans="2:11">
      <c r="K100" s="45"/>
    </row>
    <row r="101" spans="2:11">
      <c r="K101" s="45"/>
    </row>
    <row r="102" spans="2:11">
      <c r="K102" s="45"/>
    </row>
    <row r="103" spans="2:11">
      <c r="K103" s="45"/>
    </row>
    <row r="104" spans="2:11">
      <c r="B104" s="1"/>
      <c r="C104" s="1" t="s">
        <v>92</v>
      </c>
      <c r="D104" s="45"/>
      <c r="E104" s="45"/>
      <c r="F104" s="45"/>
      <c r="G104" s="45"/>
      <c r="H104" s="45"/>
      <c r="I104" s="45"/>
      <c r="J104" s="45"/>
    </row>
    <row r="105" spans="2:11">
      <c r="B105" s="45"/>
      <c r="C105" s="45"/>
      <c r="D105" s="45"/>
      <c r="E105" s="45"/>
      <c r="F105" s="45"/>
      <c r="G105" s="45"/>
      <c r="H105" s="45"/>
      <c r="I105" s="45"/>
      <c r="J105" s="45"/>
    </row>
    <row r="106" spans="2:11">
      <c r="B106" s="45" t="s">
        <v>93</v>
      </c>
      <c r="C106" s="45">
        <v>1.0129999999999999</v>
      </c>
      <c r="D106" s="45">
        <v>2.0259999999999998</v>
      </c>
      <c r="E106" s="45">
        <v>3.0390000000000001</v>
      </c>
      <c r="F106" s="45">
        <v>4.0529999999999999</v>
      </c>
      <c r="G106" s="45"/>
      <c r="H106" s="45"/>
      <c r="I106" s="45"/>
      <c r="J106" s="45"/>
    </row>
    <row r="107" spans="2:11" ht="15.75">
      <c r="B107" s="1" t="s">
        <v>85</v>
      </c>
      <c r="C107" s="47">
        <f>D36</f>
        <v>1.9349666941377017</v>
      </c>
      <c r="D107" s="47">
        <f>E36</f>
        <v>1.4529026521350743</v>
      </c>
      <c r="E107" s="47">
        <f>F36</f>
        <v>1.235867030732009</v>
      </c>
      <c r="F107" s="47">
        <f>G36</f>
        <v>1.1056216134831687</v>
      </c>
      <c r="G107" s="45"/>
      <c r="H107" s="45"/>
      <c r="I107" s="45" t="s">
        <v>76</v>
      </c>
      <c r="J107" s="45"/>
    </row>
    <row r="108" spans="2:11">
      <c r="B108" s="1" t="s">
        <v>86</v>
      </c>
      <c r="C108" s="48">
        <f>I36</f>
        <v>1.9387961353603655</v>
      </c>
      <c r="D108" s="48">
        <f>J36</f>
        <v>1.4555021674330835</v>
      </c>
      <c r="E108" s="48">
        <f>K36</f>
        <v>1.2389326818117175</v>
      </c>
      <c r="F108" s="48">
        <f>L36</f>
        <v>1.1098134583210366</v>
      </c>
      <c r="G108" s="45"/>
      <c r="H108" s="45"/>
      <c r="I108" s="45" t="s">
        <v>94</v>
      </c>
      <c r="J108" s="45"/>
    </row>
    <row r="109" spans="2:11">
      <c r="B109" s="1" t="s">
        <v>88</v>
      </c>
      <c r="C109" s="48">
        <f>N36</f>
        <v>1.7462541042091786</v>
      </c>
      <c r="D109" s="48">
        <f>O36</f>
        <v>1.3207547438647935</v>
      </c>
      <c r="E109" s="48">
        <f>P36</f>
        <v>1.1288692652808141</v>
      </c>
      <c r="F109" s="48">
        <f>Q36</f>
        <v>1.0140486235325121</v>
      </c>
      <c r="G109" s="45"/>
      <c r="H109" s="45"/>
      <c r="I109" s="45"/>
      <c r="J109" s="45"/>
    </row>
    <row r="110" spans="2:11">
      <c r="B110" s="1" t="s">
        <v>89</v>
      </c>
      <c r="C110" s="48">
        <f>S36</f>
        <v>1.758239089937834</v>
      </c>
      <c r="D110" s="48">
        <f>T36</f>
        <v>1.3322210989178656</v>
      </c>
      <c r="E110" s="48">
        <f>U36</f>
        <v>1.1394184770472007</v>
      </c>
      <c r="F110" s="48">
        <f>V36</f>
        <v>1.0237118607618483</v>
      </c>
      <c r="G110" s="45"/>
      <c r="H110" s="45"/>
      <c r="I110" s="45"/>
      <c r="J110" s="45"/>
    </row>
    <row r="111" spans="2:11">
      <c r="B111" s="45"/>
      <c r="C111" s="45"/>
      <c r="D111" s="45"/>
      <c r="E111" s="45"/>
      <c r="F111" s="45"/>
      <c r="G111" s="45"/>
      <c r="H111" s="45"/>
      <c r="I111" s="45"/>
      <c r="J111" s="45"/>
    </row>
    <row r="112" spans="2:11">
      <c r="B112" s="45"/>
      <c r="C112" s="45"/>
      <c r="D112" s="45"/>
      <c r="E112" s="45"/>
      <c r="F112" s="45"/>
      <c r="G112" s="45"/>
      <c r="H112" s="45"/>
      <c r="I112" s="45"/>
      <c r="J112" s="45"/>
    </row>
    <row r="118" spans="2:10">
      <c r="H118" s="45"/>
      <c r="I118" s="45"/>
      <c r="J118" s="45"/>
    </row>
    <row r="119" spans="2:10">
      <c r="H119" s="45"/>
      <c r="I119" s="45"/>
      <c r="J119" s="45"/>
    </row>
    <row r="120" spans="2:10">
      <c r="H120" s="45"/>
      <c r="I120" s="45"/>
      <c r="J120" s="45"/>
    </row>
    <row r="121" spans="2:10">
      <c r="H121" s="45"/>
      <c r="I121" s="45"/>
      <c r="J121" s="45"/>
    </row>
    <row r="122" spans="2:10">
      <c r="H122" s="45"/>
      <c r="I122" s="43"/>
      <c r="J122" s="45"/>
    </row>
    <row r="123" spans="2:10">
      <c r="H123" s="45"/>
      <c r="I123" s="45"/>
      <c r="J123" s="45"/>
    </row>
    <row r="124" spans="2:10">
      <c r="B124" s="1"/>
      <c r="C124" s="1" t="s">
        <v>95</v>
      </c>
      <c r="D124" s="45"/>
      <c r="E124" s="45"/>
      <c r="F124" s="45"/>
      <c r="G124" s="45"/>
      <c r="H124" s="45"/>
      <c r="I124" s="45"/>
      <c r="J124" s="45"/>
    </row>
    <row r="125" spans="2:10">
      <c r="B125" s="45"/>
      <c r="C125" s="45"/>
      <c r="D125" s="45"/>
      <c r="E125" s="45"/>
      <c r="F125" s="45"/>
      <c r="G125" s="45"/>
    </row>
    <row r="126" spans="2:10">
      <c r="B126" s="45" t="s">
        <v>93</v>
      </c>
      <c r="C126" s="45">
        <v>1.0129999999999999</v>
      </c>
      <c r="D126" s="45">
        <v>2.0259999999999998</v>
      </c>
      <c r="E126" s="45">
        <v>3.0390000000000001</v>
      </c>
      <c r="F126" s="45">
        <v>4.0529999999999999</v>
      </c>
      <c r="G126" s="45"/>
    </row>
    <row r="127" spans="2:10">
      <c r="B127" s="1" t="s">
        <v>85</v>
      </c>
      <c r="C127" s="57">
        <f>D34</f>
        <v>0.96068065599999997</v>
      </c>
      <c r="D127" s="57">
        <f>E34</f>
        <v>0.96324774699999993</v>
      </c>
      <c r="E127" s="57">
        <f>F34</f>
        <v>0.96257869299999999</v>
      </c>
      <c r="F127" s="57">
        <f>G34</f>
        <v>0.96026459199999992</v>
      </c>
      <c r="G127" s="45"/>
    </row>
    <row r="128" spans="2:10" ht="15.75">
      <c r="B128" s="1" t="s">
        <v>86</v>
      </c>
      <c r="C128" s="56">
        <f>I34</f>
        <v>0.96426024100000007</v>
      </c>
      <c r="D128" s="56">
        <f>J34</f>
        <v>0.96481193500000006</v>
      </c>
      <c r="E128" s="56">
        <f>K34</f>
        <v>0.96699363699999996</v>
      </c>
      <c r="F128" s="56">
        <f>L34</f>
        <v>0.97044198429999995</v>
      </c>
      <c r="G128" s="45"/>
      <c r="I128" s="43" t="s">
        <v>96</v>
      </c>
    </row>
    <row r="129" spans="2:7">
      <c r="B129" s="1" t="s">
        <v>88</v>
      </c>
      <c r="C129" s="56">
        <f>N34</f>
        <v>0.96580303000000001</v>
      </c>
      <c r="D129" s="56">
        <f>O34</f>
        <v>0.96886790200000006</v>
      </c>
      <c r="E129" s="56">
        <f>P34</f>
        <v>0.97266257410000001</v>
      </c>
      <c r="F129" s="56">
        <f>Q34</f>
        <v>0.97699311700000002</v>
      </c>
      <c r="G129" s="45"/>
    </row>
    <row r="130" spans="2:7">
      <c r="B130" s="1" t="s">
        <v>89</v>
      </c>
      <c r="C130" s="56">
        <f>S34</f>
        <v>0.96788880399999999</v>
      </c>
      <c r="D130" s="56">
        <f>T34</f>
        <v>0.97300605910000004</v>
      </c>
      <c r="E130" s="56">
        <f>U34</f>
        <v>0.97843325740000009</v>
      </c>
      <c r="F130" s="56">
        <f>V34</f>
        <v>0.98340402910000002</v>
      </c>
      <c r="G130" s="45"/>
    </row>
  </sheetData>
  <mergeCells count="1">
    <mergeCell ref="C64:G64"/>
  </mergeCells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&amp;C&amp;A</oddHeader>
    <oddFooter>&amp;CPágina &amp;P</oddFooter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W147"/>
  <sheetViews>
    <sheetView topLeftCell="A5" zoomScaleNormal="100" workbookViewId="0">
      <selection activeCell="D8" sqref="D8:D9"/>
    </sheetView>
  </sheetViews>
  <sheetFormatPr defaultColWidth="11.5703125" defaultRowHeight="12.75"/>
  <cols>
    <col min="1" max="1" width="6.5703125" customWidth="1"/>
    <col min="2" max="2" width="30.7109375" customWidth="1"/>
    <col min="3" max="3" width="13" customWidth="1"/>
    <col min="4" max="7" width="13.7109375" customWidth="1"/>
    <col min="8" max="8" width="2" customWidth="1"/>
    <col min="9" max="12" width="14.85546875" customWidth="1"/>
    <col min="13" max="13" width="2" customWidth="1"/>
    <col min="14" max="17" width="13.28515625" customWidth="1"/>
    <col min="18" max="18" width="2" customWidth="1"/>
    <col min="19" max="22" width="13.28515625" customWidth="1"/>
  </cols>
  <sheetData>
    <row r="2" spans="1:23">
      <c r="A2" s="19"/>
      <c r="B2" s="20" t="s">
        <v>39</v>
      </c>
      <c r="C2" s="20"/>
      <c r="D2" s="8" t="s">
        <v>43</v>
      </c>
      <c r="E2" s="8" t="s">
        <v>43</v>
      </c>
      <c r="F2" s="8" t="s">
        <v>43</v>
      </c>
      <c r="G2" s="8" t="s">
        <v>43</v>
      </c>
      <c r="H2" s="2"/>
      <c r="I2" s="8" t="s">
        <v>43</v>
      </c>
      <c r="J2" s="8" t="s">
        <v>43</v>
      </c>
      <c r="K2" s="8" t="s">
        <v>43</v>
      </c>
      <c r="L2" s="8" t="s">
        <v>43</v>
      </c>
      <c r="N2" s="8" t="s">
        <v>43</v>
      </c>
      <c r="O2" s="8" t="s">
        <v>43</v>
      </c>
      <c r="P2" s="8" t="s">
        <v>43</v>
      </c>
      <c r="Q2" s="8" t="s">
        <v>43</v>
      </c>
      <c r="S2" s="8" t="s">
        <v>43</v>
      </c>
      <c r="T2" s="8" t="s">
        <v>43</v>
      </c>
      <c r="U2" s="8" t="s">
        <v>43</v>
      </c>
      <c r="V2" s="8" t="s">
        <v>43</v>
      </c>
    </row>
    <row r="3" spans="1:23">
      <c r="A3" s="21" t="s">
        <v>44</v>
      </c>
      <c r="B3" s="20" t="s">
        <v>45</v>
      </c>
      <c r="C3" s="20"/>
      <c r="D3">
        <f>30*101325</f>
        <v>3039750</v>
      </c>
      <c r="E3">
        <f>30*101325</f>
        <v>3039750</v>
      </c>
      <c r="F3">
        <f>30*101325</f>
        <v>3039750</v>
      </c>
      <c r="G3">
        <f>30*101325</f>
        <v>3039750</v>
      </c>
      <c r="I3">
        <f>30*101325</f>
        <v>3039750</v>
      </c>
      <c r="J3">
        <f>30*101325</f>
        <v>3039750</v>
      </c>
      <c r="K3">
        <f>30*101325</f>
        <v>3039750</v>
      </c>
      <c r="L3">
        <f>30*101325</f>
        <v>3039750</v>
      </c>
      <c r="N3">
        <f>40*101325</f>
        <v>4053000</v>
      </c>
      <c r="O3">
        <f>40*101325</f>
        <v>4053000</v>
      </c>
      <c r="P3">
        <f>40*101325</f>
        <v>4053000</v>
      </c>
      <c r="Q3">
        <f>40*101325</f>
        <v>4053000</v>
      </c>
      <c r="S3">
        <f>40*101325</f>
        <v>4053000</v>
      </c>
      <c r="T3">
        <f>40*101325</f>
        <v>4053000</v>
      </c>
      <c r="U3">
        <f>40*101325</f>
        <v>4053000</v>
      </c>
      <c r="V3">
        <f>40*101325</f>
        <v>4053000</v>
      </c>
    </row>
    <row r="4" spans="1:23">
      <c r="A4" s="21" t="s">
        <v>46</v>
      </c>
      <c r="B4" s="20" t="s">
        <v>47</v>
      </c>
      <c r="C4" s="20"/>
      <c r="D4">
        <v>10</v>
      </c>
      <c r="E4">
        <v>10</v>
      </c>
      <c r="F4">
        <v>10</v>
      </c>
      <c r="G4">
        <v>10</v>
      </c>
      <c r="I4">
        <v>10</v>
      </c>
      <c r="J4">
        <v>10</v>
      </c>
      <c r="K4">
        <v>10</v>
      </c>
      <c r="L4">
        <v>10</v>
      </c>
      <c r="N4">
        <v>10</v>
      </c>
      <c r="O4">
        <v>10</v>
      </c>
      <c r="P4">
        <v>10</v>
      </c>
      <c r="Q4">
        <v>10</v>
      </c>
      <c r="S4">
        <v>10</v>
      </c>
      <c r="T4">
        <v>10</v>
      </c>
      <c r="U4">
        <v>10</v>
      </c>
      <c r="V4">
        <v>10</v>
      </c>
    </row>
    <row r="5" spans="1:23">
      <c r="A5" s="21" t="s">
        <v>46</v>
      </c>
    </row>
    <row r="6" spans="1:23">
      <c r="A6" s="21" t="s">
        <v>48</v>
      </c>
      <c r="B6" s="22" t="s">
        <v>49</v>
      </c>
      <c r="C6" s="22"/>
    </row>
    <row r="7" spans="1:23" ht="15.75">
      <c r="A7" s="21"/>
      <c r="B7" s="20" t="s">
        <v>119</v>
      </c>
      <c r="C7" s="20"/>
      <c r="D7" s="65">
        <v>1.4</v>
      </c>
      <c r="E7">
        <v>1.6</v>
      </c>
      <c r="F7">
        <v>1.8</v>
      </c>
      <c r="G7" s="65">
        <v>2</v>
      </c>
      <c r="I7">
        <v>2.2000000000000002</v>
      </c>
      <c r="J7">
        <v>2.4</v>
      </c>
      <c r="K7">
        <v>2.6</v>
      </c>
      <c r="L7" s="65">
        <v>2.8</v>
      </c>
      <c r="N7">
        <v>1.4</v>
      </c>
      <c r="O7">
        <v>1.6</v>
      </c>
      <c r="P7">
        <v>1.8</v>
      </c>
      <c r="Q7">
        <v>2</v>
      </c>
      <c r="S7">
        <v>2.2000000000000002</v>
      </c>
      <c r="T7">
        <v>2.4</v>
      </c>
      <c r="U7">
        <v>2.6</v>
      </c>
      <c r="V7">
        <v>2.8</v>
      </c>
    </row>
    <row r="8" spans="1:23" ht="15.75">
      <c r="A8" s="23" t="s">
        <v>51</v>
      </c>
      <c r="B8" s="20" t="s">
        <v>6</v>
      </c>
      <c r="C8" s="20"/>
      <c r="D8">
        <f>D7/(1+D7)</f>
        <v>0.58333333333333337</v>
      </c>
      <c r="E8">
        <f>E7/(1+E7)</f>
        <v>0.61538461538461542</v>
      </c>
      <c r="F8">
        <f>F7/(1+F7)</f>
        <v>0.6428571428571429</v>
      </c>
      <c r="G8">
        <f>G7/(1+G7)</f>
        <v>0.66666666666666663</v>
      </c>
      <c r="I8">
        <f>I7/(1+I7)</f>
        <v>0.6875</v>
      </c>
      <c r="J8">
        <f>J7/(1+J7)</f>
        <v>0.70588235294117652</v>
      </c>
      <c r="K8">
        <f>K7/(1+K7)</f>
        <v>0.72222222222222221</v>
      </c>
      <c r="L8">
        <f>L7/(1+L7)</f>
        <v>0.73684210526315785</v>
      </c>
      <c r="N8">
        <f>N7/(1+N7)</f>
        <v>0.58333333333333337</v>
      </c>
      <c r="O8">
        <f>O7/(1+O7)</f>
        <v>0.61538461538461542</v>
      </c>
      <c r="P8">
        <f>P7/(1+P7)</f>
        <v>0.6428571428571429</v>
      </c>
      <c r="Q8">
        <f>Q7/(1+Q7)</f>
        <v>0.66666666666666663</v>
      </c>
      <c r="S8" s="60">
        <f>S7/(1+S7)</f>
        <v>0.6875</v>
      </c>
      <c r="T8">
        <f>T7/(1+T7)</f>
        <v>0.70588235294117652</v>
      </c>
      <c r="U8">
        <f>U7/(1+U7)</f>
        <v>0.72222222222222221</v>
      </c>
      <c r="V8">
        <f>V7/(1+V7)</f>
        <v>0.73684210526315785</v>
      </c>
    </row>
    <row r="9" spans="1:23">
      <c r="A9" s="24"/>
      <c r="B9" s="20" t="s">
        <v>7</v>
      </c>
      <c r="C9" s="20"/>
      <c r="D9">
        <f>1/(1+D7)</f>
        <v>0.41666666666666669</v>
      </c>
      <c r="E9">
        <f>1/(1+E7)</f>
        <v>0.38461538461538458</v>
      </c>
      <c r="F9">
        <f>1/(1+F7)</f>
        <v>0.35714285714285715</v>
      </c>
      <c r="G9">
        <f>1/(1+G7)</f>
        <v>0.33333333333333331</v>
      </c>
      <c r="I9">
        <f>1/(1+I7)</f>
        <v>0.3125</v>
      </c>
      <c r="J9">
        <f>1/(1+J7)</f>
        <v>0.29411764705882354</v>
      </c>
      <c r="K9">
        <f>1/(1+K7)</f>
        <v>0.27777777777777779</v>
      </c>
      <c r="L9">
        <f>1/(1+L7)</f>
        <v>0.26315789473684209</v>
      </c>
      <c r="N9">
        <f>1/(1+N7)</f>
        <v>0.41666666666666669</v>
      </c>
      <c r="O9">
        <f>1/(1+O7)</f>
        <v>0.38461538461538458</v>
      </c>
      <c r="P9">
        <f>1/(1+P7)</f>
        <v>0.35714285714285715</v>
      </c>
      <c r="Q9">
        <f>1/(1+Q7)</f>
        <v>0.33333333333333331</v>
      </c>
      <c r="S9" s="60">
        <f>1/(1+S7)</f>
        <v>0.3125</v>
      </c>
      <c r="T9">
        <f>1/(1+T7)</f>
        <v>0.29411764705882354</v>
      </c>
      <c r="U9">
        <f>1/(1+U7)</f>
        <v>0.27777777777777779</v>
      </c>
      <c r="V9">
        <f>1/(1+V7)</f>
        <v>0.26315789473684209</v>
      </c>
    </row>
    <row r="10" spans="1:23" ht="15.75">
      <c r="B10" s="20" t="s">
        <v>52</v>
      </c>
      <c r="D10">
        <f>D4*D9</f>
        <v>4.166666666666667</v>
      </c>
      <c r="E10">
        <f>E4*E9</f>
        <v>3.8461538461538458</v>
      </c>
      <c r="F10">
        <f>F4*F9</f>
        <v>3.5714285714285716</v>
      </c>
      <c r="G10">
        <f>G4*G9</f>
        <v>3.333333333333333</v>
      </c>
      <c r="H10" s="2"/>
      <c r="I10">
        <f>I4*I9</f>
        <v>3.125</v>
      </c>
      <c r="J10">
        <f>J4*J9</f>
        <v>2.9411764705882355</v>
      </c>
      <c r="K10">
        <f>K4*K9</f>
        <v>2.7777777777777777</v>
      </c>
      <c r="L10">
        <f>L4*L9</f>
        <v>2.6315789473684208</v>
      </c>
      <c r="N10">
        <f>N4*N9</f>
        <v>4.166666666666667</v>
      </c>
      <c r="O10">
        <f>O4*O9</f>
        <v>3.8461538461538458</v>
      </c>
      <c r="P10">
        <f>P4*P9</f>
        <v>3.5714285714285716</v>
      </c>
      <c r="Q10">
        <f>Q4*Q9</f>
        <v>3.333333333333333</v>
      </c>
      <c r="S10" s="60">
        <f>S4*S9</f>
        <v>3.125</v>
      </c>
      <c r="T10">
        <f>T4*T9</f>
        <v>2.9411764705882355</v>
      </c>
      <c r="U10">
        <f>U4*U9</f>
        <v>2.7777777777777777</v>
      </c>
      <c r="V10">
        <f>V4*V9</f>
        <v>2.6315789473684208</v>
      </c>
    </row>
    <row r="11" spans="1:23">
      <c r="E11" s="2"/>
      <c r="F11" s="2"/>
      <c r="G11" s="2"/>
      <c r="H11" s="2"/>
      <c r="I11" s="2"/>
      <c r="J11" s="2"/>
      <c r="K11" s="2"/>
      <c r="L11" s="2"/>
      <c r="N11" s="2"/>
      <c r="O11" s="2"/>
      <c r="P11" s="2"/>
      <c r="Q11" s="2"/>
      <c r="S11" s="2"/>
      <c r="T11" s="2"/>
      <c r="U11" s="2"/>
      <c r="V11" s="2"/>
    </row>
    <row r="12" spans="1:23">
      <c r="B12" s="20" t="s">
        <v>9</v>
      </c>
      <c r="C12" s="20"/>
      <c r="D12" s="8" t="s">
        <v>11</v>
      </c>
      <c r="E12" s="8" t="s">
        <v>11</v>
      </c>
      <c r="F12" s="8" t="s">
        <v>11</v>
      </c>
      <c r="G12" s="8" t="s">
        <v>11</v>
      </c>
      <c r="H12" s="2"/>
      <c r="I12" s="8" t="s">
        <v>11</v>
      </c>
      <c r="J12" s="8" t="s">
        <v>11</v>
      </c>
      <c r="K12" s="8" t="s">
        <v>11</v>
      </c>
      <c r="L12" s="8" t="s">
        <v>11</v>
      </c>
      <c r="N12" s="8" t="s">
        <v>11</v>
      </c>
      <c r="O12" s="8" t="s">
        <v>11</v>
      </c>
      <c r="P12" s="8" t="s">
        <v>11</v>
      </c>
      <c r="Q12" s="8" t="s">
        <v>11</v>
      </c>
      <c r="S12" s="8" t="s">
        <v>11</v>
      </c>
      <c r="T12" s="8" t="s">
        <v>11</v>
      </c>
      <c r="U12" s="8" t="s">
        <v>11</v>
      </c>
      <c r="V12" s="8" t="s">
        <v>11</v>
      </c>
    </row>
    <row r="13" spans="1:23">
      <c r="E13" s="2"/>
      <c r="F13" s="2"/>
      <c r="G13" s="2"/>
      <c r="H13" s="2"/>
      <c r="I13" s="2"/>
      <c r="J13" s="2"/>
      <c r="K13" s="2"/>
      <c r="L13" s="2"/>
      <c r="N13" s="2"/>
      <c r="O13" s="2"/>
      <c r="P13" s="2"/>
      <c r="Q13" s="2"/>
      <c r="S13" s="2"/>
      <c r="T13" s="2"/>
      <c r="U13" s="2"/>
      <c r="V13" s="2"/>
    </row>
    <row r="14" spans="1:23">
      <c r="A14" s="44"/>
      <c r="B14" s="22" t="s">
        <v>53</v>
      </c>
      <c r="C14" s="22"/>
      <c r="D14" s="8"/>
      <c r="E14" s="8"/>
      <c r="F14" s="8"/>
      <c r="G14" s="8"/>
      <c r="H14" s="11"/>
      <c r="I14" s="8"/>
      <c r="J14" s="8"/>
      <c r="K14" s="8"/>
      <c r="L14" s="8"/>
      <c r="M14" s="45"/>
      <c r="N14" s="8"/>
      <c r="O14" s="8"/>
      <c r="P14" s="8"/>
      <c r="Q14" s="8"/>
      <c r="R14" s="45"/>
      <c r="S14" s="8"/>
      <c r="T14" s="8"/>
      <c r="U14" s="8"/>
      <c r="V14" s="8"/>
      <c r="W14" s="45"/>
    </row>
    <row r="15" spans="1:23" ht="15.75">
      <c r="A15" s="21" t="s">
        <v>54</v>
      </c>
      <c r="B15" s="20" t="s">
        <v>55</v>
      </c>
      <c r="C15" s="20"/>
      <c r="D15" s="58">
        <v>1.2123937</v>
      </c>
      <c r="E15" s="58">
        <v>0.74721875000000004</v>
      </c>
      <c r="F15" s="58">
        <v>0.37036227999999999</v>
      </c>
      <c r="G15" s="58">
        <v>9.1124753000000003E-2</v>
      </c>
      <c r="H15" s="47"/>
      <c r="I15" s="59">
        <v>1.9982523000000001E-8</v>
      </c>
      <c r="J15" s="59">
        <v>2.0258577E-8</v>
      </c>
      <c r="K15" s="59">
        <v>1.6915844000000001E-8</v>
      </c>
      <c r="L15" s="59">
        <v>1.3652696999999999E-8</v>
      </c>
      <c r="M15" s="48"/>
      <c r="N15" s="58">
        <v>1.1402835</v>
      </c>
      <c r="O15" s="58">
        <v>0.68563101999999998</v>
      </c>
      <c r="P15" s="58">
        <v>0.32837711000000003</v>
      </c>
      <c r="Q15" s="58">
        <v>7.6689610000000005E-2</v>
      </c>
      <c r="R15" s="48"/>
      <c r="S15" s="59">
        <v>6.0262896999999999E-8</v>
      </c>
      <c r="T15" s="59">
        <v>5.9835945999999997E-8</v>
      </c>
      <c r="U15" s="59">
        <v>4.9214865000000001E-8</v>
      </c>
      <c r="V15" s="59">
        <v>3.9198010000000001E-8</v>
      </c>
      <c r="W15" s="45"/>
    </row>
    <row r="16" spans="1:23" ht="15.75">
      <c r="A16" s="21"/>
      <c r="B16" s="20" t="s">
        <v>56</v>
      </c>
      <c r="C16" s="20"/>
      <c r="D16" s="58">
        <v>0</v>
      </c>
      <c r="E16" s="58">
        <v>2.9485136999999999E-4</v>
      </c>
      <c r="F16" s="58">
        <v>0</v>
      </c>
      <c r="G16" s="58">
        <v>0</v>
      </c>
      <c r="H16" s="47"/>
      <c r="I16" s="58">
        <v>0.37823430000000002</v>
      </c>
      <c r="J16" s="58">
        <v>0.94317777000000003</v>
      </c>
      <c r="K16" s="58">
        <v>1.4461708</v>
      </c>
      <c r="L16" s="58">
        <v>1.8965692999999999</v>
      </c>
      <c r="M16" s="48"/>
      <c r="N16" s="58">
        <v>0</v>
      </c>
      <c r="O16" s="58">
        <v>4.8601254999999999E-4</v>
      </c>
      <c r="P16" s="58">
        <v>2.7561969000000001E-4</v>
      </c>
      <c r="Q16" s="58">
        <v>0</v>
      </c>
      <c r="R16" s="48"/>
      <c r="S16" s="58">
        <v>0.38159652999999999</v>
      </c>
      <c r="T16" s="58">
        <v>0.94419883000000004</v>
      </c>
      <c r="U16" s="58">
        <v>1.4458913</v>
      </c>
      <c r="V16" s="58">
        <v>1.8955127000000001</v>
      </c>
      <c r="W16" s="45"/>
    </row>
    <row r="17" spans="1:23" ht="15.75">
      <c r="A17" s="21" t="s">
        <v>57</v>
      </c>
      <c r="B17" s="20" t="s">
        <v>58</v>
      </c>
      <c r="C17" s="20"/>
      <c r="D17" s="58">
        <v>2.8128517999999998</v>
      </c>
      <c r="E17" s="58">
        <v>2.9863479000000002</v>
      </c>
      <c r="F17" s="58">
        <v>3.1275114999999998</v>
      </c>
      <c r="G17" s="58">
        <v>3.2140102000000002</v>
      </c>
      <c r="H17" s="47"/>
      <c r="I17" s="58">
        <v>3.1180450999999998</v>
      </c>
      <c r="J17" s="58">
        <v>2.9363603999999999</v>
      </c>
      <c r="K17" s="58">
        <v>2.7742387000000002</v>
      </c>
      <c r="L17" s="58">
        <v>2.6288801999999998</v>
      </c>
      <c r="M17" s="48"/>
      <c r="N17" s="58">
        <v>2.7843189000000002</v>
      </c>
      <c r="O17" s="58">
        <v>2.9689949000000002</v>
      </c>
      <c r="P17" s="58">
        <v>3.1189841</v>
      </c>
      <c r="Q17" s="58">
        <v>3.2093360999999998</v>
      </c>
      <c r="R17" s="48"/>
      <c r="S17" s="58">
        <v>3.1123994000000001</v>
      </c>
      <c r="T17" s="58">
        <v>2.9324669000000001</v>
      </c>
      <c r="U17" s="58">
        <v>2.7713988000000001</v>
      </c>
      <c r="V17" s="58">
        <v>2.6267331</v>
      </c>
      <c r="W17" s="45"/>
    </row>
    <row r="18" spans="1:23" ht="15.75">
      <c r="A18" s="21"/>
      <c r="B18" s="20" t="s">
        <v>59</v>
      </c>
      <c r="C18" s="20"/>
      <c r="D18" s="58">
        <v>7.0710547999999998E-2</v>
      </c>
      <c r="E18" s="58">
        <v>5.6293616999999997E-2</v>
      </c>
      <c r="F18" s="58">
        <v>3.6777378999999999E-2</v>
      </c>
      <c r="G18" s="58">
        <v>1.4099178E-2</v>
      </c>
      <c r="H18" s="47"/>
      <c r="I18" s="58">
        <v>3.4774389000000001E-3</v>
      </c>
      <c r="J18" s="58">
        <v>2.4080389999999998E-3</v>
      </c>
      <c r="K18" s="58">
        <v>1.7695483E-3</v>
      </c>
      <c r="L18" s="58">
        <v>1.3493607E-3</v>
      </c>
      <c r="M18" s="48"/>
      <c r="N18" s="58">
        <v>0.12103215000000001</v>
      </c>
      <c r="O18" s="58">
        <v>9.5763960999999995E-2</v>
      </c>
      <c r="P18" s="58">
        <v>6.2033680000000001E-2</v>
      </c>
      <c r="Q18" s="58">
        <v>2.3653819E-2</v>
      </c>
      <c r="R18" s="48"/>
      <c r="S18" s="58">
        <v>6.3002893999999999E-3</v>
      </c>
      <c r="T18" s="58">
        <v>4.3547354000000003E-3</v>
      </c>
      <c r="U18" s="58">
        <v>3.1894897E-3</v>
      </c>
      <c r="V18" s="58">
        <v>2.4229009999999999E-3</v>
      </c>
      <c r="W18" s="45"/>
    </row>
    <row r="19" spans="1:23">
      <c r="A19" s="21" t="s">
        <v>60</v>
      </c>
      <c r="B19" s="45"/>
      <c r="C19" s="45"/>
      <c r="D19" s="47"/>
      <c r="E19" s="47"/>
      <c r="F19" s="47"/>
      <c r="G19" s="47"/>
      <c r="H19" s="47"/>
      <c r="I19" s="47"/>
      <c r="J19" s="47"/>
      <c r="K19" s="47"/>
      <c r="L19" s="47"/>
      <c r="M19" s="48"/>
      <c r="N19" s="47"/>
      <c r="O19" s="47"/>
      <c r="P19" s="47"/>
      <c r="Q19" s="47"/>
      <c r="R19" s="48"/>
      <c r="S19" s="47"/>
      <c r="T19" s="47"/>
      <c r="U19" s="47"/>
      <c r="V19" s="47"/>
      <c r="W19" s="45"/>
    </row>
    <row r="20" spans="1:23" ht="15.75">
      <c r="A20" s="21"/>
      <c r="B20" s="66" t="s">
        <v>105</v>
      </c>
      <c r="C20" s="11">
        <v>5</v>
      </c>
      <c r="D20" s="58">
        <v>2.4949417000000002E-2</v>
      </c>
      <c r="E20" s="58">
        <v>2.5639476000000001E-2</v>
      </c>
      <c r="F20" s="58">
        <v>2.5768655000000001E-2</v>
      </c>
      <c r="G20" s="58">
        <v>2.5118728999999999E-2</v>
      </c>
      <c r="H20" s="47"/>
      <c r="I20" s="58">
        <v>2.3169909999999998E-2</v>
      </c>
      <c r="J20" s="58">
        <v>2.1091543000000001E-2</v>
      </c>
      <c r="K20" s="58">
        <v>1.9311385E-2</v>
      </c>
      <c r="L20" s="58">
        <v>1.7772665E-2</v>
      </c>
      <c r="M20" s="48"/>
      <c r="N20" s="58">
        <v>2.7659824E-2</v>
      </c>
      <c r="O20" s="58">
        <v>2.8433742000000001E-2</v>
      </c>
      <c r="P20" s="58">
        <v>2.8538279999999999E-2</v>
      </c>
      <c r="Q20" s="58">
        <v>2.7750502999999999E-2</v>
      </c>
      <c r="R20" s="48"/>
      <c r="S20" s="58">
        <v>2.5595264999999999E-2</v>
      </c>
      <c r="T20" s="58">
        <v>2.3332861999999999E-2</v>
      </c>
      <c r="U20" s="58">
        <v>2.1389057999999999E-2</v>
      </c>
      <c r="V20" s="58">
        <v>1.9704946000000001E-2</v>
      </c>
      <c r="W20" s="45"/>
    </row>
    <row r="21" spans="1:23" ht="15.75">
      <c r="A21" s="21" t="s">
        <v>48</v>
      </c>
      <c r="B21" s="66" t="s">
        <v>104</v>
      </c>
      <c r="C21" s="11">
        <v>6</v>
      </c>
      <c r="D21" s="58">
        <v>2.1899004E-2</v>
      </c>
      <c r="E21" s="58">
        <v>2.2565321999999999E-2</v>
      </c>
      <c r="F21" s="58">
        <v>2.2754706999999999E-2</v>
      </c>
      <c r="G21" s="58">
        <v>2.2270208E-2</v>
      </c>
      <c r="H21" s="47"/>
      <c r="I21" s="58">
        <v>2.0615904000000001E-2</v>
      </c>
      <c r="J21" s="58">
        <v>1.8816228000000001E-2</v>
      </c>
      <c r="K21" s="58">
        <v>1.7268817999999998E-2</v>
      </c>
      <c r="L21" s="58">
        <v>1.5926764999999999E-2</v>
      </c>
      <c r="M21" s="48"/>
      <c r="N21" s="58">
        <v>2.4045081999999999E-2</v>
      </c>
      <c r="O21" s="58">
        <v>2.4790000999999999E-2</v>
      </c>
      <c r="P21" s="58">
        <v>2.4971144000000001E-2</v>
      </c>
      <c r="Q21" s="58">
        <v>2.4386358E-2</v>
      </c>
      <c r="R21" s="48"/>
      <c r="S21" s="58">
        <v>2.2577E-2</v>
      </c>
      <c r="T21" s="58">
        <v>2.0639240999999999E-2</v>
      </c>
      <c r="U21" s="58">
        <v>1.8967428000000001E-2</v>
      </c>
      <c r="V21" s="58">
        <v>1.7513705000000001E-2</v>
      </c>
      <c r="W21" s="45"/>
    </row>
    <row r="22" spans="1:23" ht="15.75">
      <c r="A22" s="21"/>
      <c r="B22" s="66" t="s">
        <v>63</v>
      </c>
      <c r="C22" s="11">
        <v>7</v>
      </c>
      <c r="D22" s="58">
        <v>1.9224115999999999E-2</v>
      </c>
      <c r="E22" s="58">
        <v>1.9861980000000001E-2</v>
      </c>
      <c r="F22" s="58">
        <v>2.0095089999999999E-2</v>
      </c>
      <c r="G22" s="58">
        <v>1.9746377999999998E-2</v>
      </c>
      <c r="H22" s="47"/>
      <c r="I22" s="58">
        <v>1.8345229000000001E-2</v>
      </c>
      <c r="J22" s="58">
        <v>1.6787982E-2</v>
      </c>
      <c r="K22" s="58">
        <v>1.5443758E-2</v>
      </c>
      <c r="L22" s="58">
        <v>1.4273927E-2</v>
      </c>
      <c r="M22" s="48"/>
      <c r="N22" s="58">
        <v>2.0905863E-2</v>
      </c>
      <c r="O22" s="58">
        <v>2.1615899000000001E-2</v>
      </c>
      <c r="P22" s="58">
        <v>2.1852091000000001E-2</v>
      </c>
      <c r="Q22" s="58">
        <v>2.1432099999999999E-2</v>
      </c>
      <c r="R22" s="48"/>
      <c r="S22" s="58">
        <v>1.9916876999999999E-2</v>
      </c>
      <c r="T22" s="58">
        <v>1.8258567999999999E-2</v>
      </c>
      <c r="U22" s="58">
        <v>1.6821777E-2</v>
      </c>
      <c r="V22" s="58">
        <v>1.5567796E-2</v>
      </c>
      <c r="W22" s="45"/>
    </row>
    <row r="23" spans="1:23" ht="15.75">
      <c r="A23" s="21" t="s">
        <v>64</v>
      </c>
      <c r="B23" s="66" t="s">
        <v>65</v>
      </c>
      <c r="C23" s="11">
        <v>8</v>
      </c>
      <c r="D23" s="58">
        <v>1.6878279E-2</v>
      </c>
      <c r="E23" s="58">
        <v>1.7484522999999998E-2</v>
      </c>
      <c r="F23" s="58">
        <v>1.7747995999999999E-2</v>
      </c>
      <c r="G23" s="58">
        <v>1.7510090999999998E-2</v>
      </c>
      <c r="H23" s="47"/>
      <c r="I23" s="58">
        <v>1.6326309000000001E-2</v>
      </c>
      <c r="J23" s="58">
        <v>1.4979855E-2</v>
      </c>
      <c r="K23" s="58">
        <v>1.3812935E-2</v>
      </c>
      <c r="L23" s="58">
        <v>1.2793863000000001E-2</v>
      </c>
      <c r="M23" s="48"/>
      <c r="N23" s="58">
        <v>1.8179295000000002E-2</v>
      </c>
      <c r="O23" s="58">
        <v>1.8850644999999999E-2</v>
      </c>
      <c r="P23" s="58">
        <v>1.9124637E-2</v>
      </c>
      <c r="Q23" s="58">
        <v>1.8837610000000001E-2</v>
      </c>
      <c r="R23" s="48"/>
      <c r="S23" s="58">
        <v>1.7572213E-2</v>
      </c>
      <c r="T23" s="58">
        <v>1.6154324000000001E-2</v>
      </c>
      <c r="U23" s="58">
        <v>1.4920513E-2</v>
      </c>
      <c r="V23" s="58">
        <v>1.3839627E-2</v>
      </c>
      <c r="W23" s="45"/>
    </row>
    <row r="24" spans="1:23" ht="15.75">
      <c r="A24" s="21"/>
      <c r="B24" s="66" t="s">
        <v>66</v>
      </c>
      <c r="C24" s="11">
        <v>9</v>
      </c>
      <c r="D24" s="58">
        <v>1.4820797E-2</v>
      </c>
      <c r="E24" s="58">
        <v>1.5393485E-2</v>
      </c>
      <c r="F24" s="58">
        <v>1.5676562000000002E-2</v>
      </c>
      <c r="G24" s="58">
        <v>1.5528462999999999E-2</v>
      </c>
      <c r="H24" s="47"/>
      <c r="I24" s="58">
        <v>1.4531102000000001E-2</v>
      </c>
      <c r="J24" s="58">
        <v>1.3367843000000001E-2</v>
      </c>
      <c r="K24" s="58">
        <v>1.2355577E-2</v>
      </c>
      <c r="L24" s="58">
        <v>1.1468422000000001E-2</v>
      </c>
      <c r="M24" s="48"/>
      <c r="N24" s="58">
        <v>1.5810853999999999E-2</v>
      </c>
      <c r="O24" s="58">
        <v>1.6441346999999999E-2</v>
      </c>
      <c r="P24" s="58">
        <v>1.6739437999999999E-2</v>
      </c>
      <c r="Q24" s="58">
        <v>1.6558910999999999E-2</v>
      </c>
      <c r="R24" s="48"/>
      <c r="S24" s="58">
        <v>1.5505430000000001E-2</v>
      </c>
      <c r="T24" s="58">
        <v>1.4294263999999999E-2</v>
      </c>
      <c r="U24" s="58">
        <v>1.323567E-2</v>
      </c>
      <c r="V24" s="58">
        <v>1.2304717E-2</v>
      </c>
      <c r="W24" s="45"/>
    </row>
    <row r="25" spans="1:23" ht="15.75">
      <c r="A25" s="21" t="s">
        <v>60</v>
      </c>
      <c r="B25" s="66" t="s">
        <v>107</v>
      </c>
      <c r="C25" s="11">
        <v>10</v>
      </c>
      <c r="D25" s="58">
        <v>1.3016029E-2</v>
      </c>
      <c r="E25" s="58">
        <v>1.3554198999999999E-2</v>
      </c>
      <c r="F25" s="58">
        <v>1.3848287000000001E-2</v>
      </c>
      <c r="G25" s="58">
        <v>1.3772382E-2</v>
      </c>
      <c r="H25" s="47"/>
      <c r="I25" s="58">
        <v>1.2934701E-2</v>
      </c>
      <c r="J25" s="58">
        <v>1.1930573E-2</v>
      </c>
      <c r="K25" s="58">
        <v>1.1053141000000001E-2</v>
      </c>
      <c r="L25" s="58">
        <v>1.0281368000000001E-2</v>
      </c>
      <c r="M25" s="48"/>
      <c r="N25" s="58">
        <v>1.3753249E-2</v>
      </c>
      <c r="O25" s="58">
        <v>1.4341977000000001E-2</v>
      </c>
      <c r="P25" s="58">
        <v>1.4653387E-2</v>
      </c>
      <c r="Q25" s="58">
        <v>1.4557419E-2</v>
      </c>
      <c r="R25" s="48"/>
      <c r="S25" s="58">
        <v>1.368344E-2</v>
      </c>
      <c r="T25" s="58">
        <v>1.2649919000000001E-2</v>
      </c>
      <c r="U25" s="58">
        <v>1.1742496E-2</v>
      </c>
      <c r="V25" s="58">
        <v>1.0941348E-2</v>
      </c>
      <c r="W25" s="45"/>
    </row>
    <row r="26" spans="1:23" ht="15.75">
      <c r="A26" s="21"/>
      <c r="B26" s="66" t="s">
        <v>106</v>
      </c>
      <c r="C26" s="11">
        <v>11</v>
      </c>
      <c r="D26" s="58">
        <v>1.143276E-2</v>
      </c>
      <c r="E26" s="58">
        <v>1.1936208E-2</v>
      </c>
      <c r="F26" s="58">
        <v>1.2234515E-2</v>
      </c>
      <c r="G26" s="58">
        <v>1.2216072999999999E-2</v>
      </c>
      <c r="H26" s="47"/>
      <c r="I26" s="58">
        <v>1.1514979E-2</v>
      </c>
      <c r="J26" s="58">
        <v>1.0649007E-2</v>
      </c>
      <c r="K26" s="58">
        <v>9.8890738999999998E-3</v>
      </c>
      <c r="L26" s="58">
        <v>9.2181777999999995E-3</v>
      </c>
      <c r="M26" s="48"/>
      <c r="N26" s="58">
        <v>1.1965464E-2</v>
      </c>
      <c r="O26" s="58">
        <v>1.2512482E-2</v>
      </c>
      <c r="P26" s="58">
        <v>1.2828819E-2</v>
      </c>
      <c r="Q26" s="58">
        <v>1.279928E-2</v>
      </c>
      <c r="R26" s="48"/>
      <c r="S26" s="58">
        <v>1.2077111E-2</v>
      </c>
      <c r="T26" s="58">
        <v>1.119615E-2</v>
      </c>
      <c r="U26" s="58">
        <v>1.0419077000000001E-2</v>
      </c>
      <c r="V26" s="58">
        <v>9.7302515999999999E-3</v>
      </c>
      <c r="W26" s="45"/>
    </row>
    <row r="27" spans="1:23" ht="14.25">
      <c r="A27" s="21" t="s">
        <v>69</v>
      </c>
      <c r="B27" s="28" t="s">
        <v>70</v>
      </c>
      <c r="C27" s="20"/>
      <c r="D27" s="47">
        <f t="shared" ref="D27:E27" si="0">SUM(D20:D26)</f>
        <v>0.12222040199999999</v>
      </c>
      <c r="E27" s="47">
        <f t="shared" si="0"/>
        <v>0.126435193</v>
      </c>
      <c r="F27" s="47">
        <f>SUM(F20:F26)</f>
        <v>0.12812581200000001</v>
      </c>
      <c r="G27" s="47">
        <f t="shared" ref="G27" si="1">SUM(G20:G26)</f>
        <v>0.12616232399999999</v>
      </c>
      <c r="H27" s="47"/>
      <c r="I27" s="47">
        <f t="shared" ref="I27" si="2">SUM(I20:I26)</f>
        <v>0.11743813399999999</v>
      </c>
      <c r="J27" s="47">
        <f t="shared" ref="J27" si="3">SUM(J20:J26)</f>
        <v>0.10762303100000001</v>
      </c>
      <c r="K27" s="47">
        <f>SUM(K20:K26)</f>
        <v>9.9134687900000018E-2</v>
      </c>
      <c r="L27" s="47">
        <f t="shared" ref="L27" si="4">SUM(L20:L26)</f>
        <v>9.1735187800000006E-2</v>
      </c>
      <c r="M27" s="48"/>
      <c r="N27" s="47">
        <f t="shared" ref="N27" si="5">SUM(N20:N26)</f>
        <v>0.13231963099999999</v>
      </c>
      <c r="O27" s="47">
        <f t="shared" ref="O27" si="6">SUM(O20:O26)</f>
        <v>0.136986093</v>
      </c>
      <c r="P27" s="47">
        <f>SUM(P20:P26)</f>
        <v>0.13870779599999999</v>
      </c>
      <c r="Q27" s="47">
        <f t="shared" ref="Q27" si="7">SUM(Q20:Q26)</f>
        <v>0.13632218100000001</v>
      </c>
      <c r="R27" s="47"/>
      <c r="S27" s="47">
        <f t="shared" ref="S27" si="8">SUM(S20:S26)</f>
        <v>0.126927336</v>
      </c>
      <c r="T27" s="47">
        <f t="shared" ref="T27" si="9">SUM(T20:T26)</f>
        <v>0.116525328</v>
      </c>
      <c r="U27" s="47">
        <f>SUM(U20:U26)</f>
        <v>0.107496019</v>
      </c>
      <c r="V27" s="47">
        <f t="shared" ref="V27" si="10">SUM(V20:V26)</f>
        <v>9.9602390600000007E-2</v>
      </c>
      <c r="W27" s="45"/>
    </row>
    <row r="28" spans="1:23">
      <c r="A28" s="21"/>
      <c r="B28" s="20"/>
      <c r="C28" s="20"/>
      <c r="D28" s="47"/>
      <c r="E28" s="47"/>
      <c r="F28" s="47"/>
      <c r="G28" s="47"/>
      <c r="H28" s="47"/>
      <c r="I28" s="47"/>
      <c r="J28" s="47"/>
      <c r="K28" s="47"/>
      <c r="L28" s="47"/>
      <c r="M28" s="48"/>
      <c r="N28" s="47"/>
      <c r="O28" s="47"/>
      <c r="P28" s="47"/>
      <c r="Q28" s="47"/>
      <c r="R28" s="48"/>
      <c r="S28" s="47"/>
      <c r="T28" s="47"/>
      <c r="U28" s="47"/>
      <c r="V28" s="47"/>
      <c r="W28" s="45"/>
    </row>
    <row r="29" spans="1:23" ht="15.75">
      <c r="A29" s="23" t="s">
        <v>71</v>
      </c>
      <c r="B29" s="20" t="s">
        <v>72</v>
      </c>
      <c r="C29" s="20"/>
      <c r="D29" s="58">
        <v>0.1230324</v>
      </c>
      <c r="E29" s="58">
        <v>0.13092253000000001</v>
      </c>
      <c r="F29" s="58">
        <v>0.13763226000000001</v>
      </c>
      <c r="G29" s="58">
        <v>0.14242077</v>
      </c>
      <c r="H29" s="47"/>
      <c r="I29" s="58">
        <v>0.13975992000000001</v>
      </c>
      <c r="J29" s="58">
        <v>0.13289395000000001</v>
      </c>
      <c r="K29" s="58">
        <v>0.12666981999999999</v>
      </c>
      <c r="L29" s="58">
        <v>0.12100674</v>
      </c>
      <c r="M29" s="48"/>
      <c r="N29" s="58">
        <v>0.11997223</v>
      </c>
      <c r="O29" s="58">
        <v>0.12766902999999999</v>
      </c>
      <c r="P29" s="58">
        <v>0.13401450000000001</v>
      </c>
      <c r="Q29" s="58">
        <v>0.13823732</v>
      </c>
      <c r="R29" s="48"/>
      <c r="S29" s="58">
        <v>0.13537713000000001</v>
      </c>
      <c r="T29" s="58">
        <v>0.12881076</v>
      </c>
      <c r="U29" s="58">
        <v>0.12284788000000001</v>
      </c>
      <c r="V29" s="58">
        <v>0.1174168</v>
      </c>
      <c r="W29" s="45"/>
    </row>
    <row r="30" spans="1:23">
      <c r="A30" s="51"/>
      <c r="B30" s="20"/>
      <c r="C30" s="20"/>
      <c r="D30" s="47"/>
      <c r="E30" s="47"/>
      <c r="F30" s="47"/>
      <c r="G30" s="47"/>
      <c r="H30" s="47"/>
      <c r="I30" s="47"/>
      <c r="J30" s="47"/>
      <c r="K30" s="47"/>
      <c r="L30" s="47"/>
      <c r="M30" s="48"/>
      <c r="N30" s="47"/>
      <c r="O30" s="47"/>
      <c r="P30" s="47"/>
      <c r="Q30" s="47"/>
      <c r="R30" s="48"/>
      <c r="S30" s="47"/>
      <c r="T30" s="47"/>
      <c r="U30" s="47"/>
      <c r="V30" s="47"/>
      <c r="W30" s="45"/>
    </row>
    <row r="31" spans="1:23" ht="15.75">
      <c r="A31" s="32"/>
      <c r="B31" s="33" t="s">
        <v>73</v>
      </c>
      <c r="C31" s="33"/>
      <c r="D31" s="52">
        <f>SUM(D15:D18)+D27+D29</f>
        <v>4.3412088499999992</v>
      </c>
      <c r="E31" s="52">
        <f>SUM(E15:E18)+E27+E29</f>
        <v>4.0475128413700006</v>
      </c>
      <c r="F31" s="52">
        <f>SUM(F15:F18)+F27+F29</f>
        <v>3.8004092310000002</v>
      </c>
      <c r="G31" s="52">
        <f>SUM(G15:G18)+G27+G29</f>
        <v>3.5878172250000002</v>
      </c>
      <c r="H31" s="47"/>
      <c r="I31" s="52">
        <f>SUM(I15:I18)+I27+I29</f>
        <v>3.7569549128825228</v>
      </c>
      <c r="J31" s="52">
        <f>SUM(J15:J18)+J27+J29</f>
        <v>4.1224632102585774</v>
      </c>
      <c r="K31" s="52">
        <f>SUM(K15:K18)+K27+K29</f>
        <v>4.4479835731158452</v>
      </c>
      <c r="L31" s="52">
        <f>SUM(L15:L18)+L27+L29</f>
        <v>4.739540802152697</v>
      </c>
      <c r="M31" s="48"/>
      <c r="N31" s="52">
        <f>SUM(N15:N18)+N27+N29</f>
        <v>4.2979264110000006</v>
      </c>
      <c r="O31" s="52">
        <f>SUM(O15:O18)+O27+O29</f>
        <v>4.0155310165499998</v>
      </c>
      <c r="P31" s="52">
        <f>SUM(P15:P18)+P27+P29</f>
        <v>3.7823928056899998</v>
      </c>
      <c r="Q31" s="52">
        <f>SUM(Q15:Q18)+Q27+Q29</f>
        <v>3.58423903</v>
      </c>
      <c r="R31" s="48"/>
      <c r="S31" s="52">
        <f>SUM(S15:S18)+S27+S29</f>
        <v>3.7626007456628972</v>
      </c>
      <c r="T31" s="52">
        <f>SUM(T15:T18)+T27+T29</f>
        <v>4.1263566132359459</v>
      </c>
      <c r="U31" s="52">
        <f>SUM(U15:U18)+U27+U29</f>
        <v>4.4508235379148653</v>
      </c>
      <c r="V31" s="52">
        <f>SUM(V15:V18)+V27+V29</f>
        <v>4.7416879307980109</v>
      </c>
      <c r="W31" s="45"/>
    </row>
    <row r="32" spans="1:23">
      <c r="A32" s="35"/>
      <c r="B32" s="33"/>
      <c r="C32" s="33"/>
      <c r="D32" s="52"/>
      <c r="E32" s="52"/>
      <c r="F32" s="52"/>
      <c r="G32" s="52"/>
      <c r="H32" s="47"/>
      <c r="I32" s="52"/>
      <c r="J32" s="52"/>
      <c r="K32" s="52"/>
      <c r="L32" s="52"/>
      <c r="M32" s="48"/>
      <c r="N32" s="52"/>
      <c r="O32" s="52"/>
      <c r="P32" s="52"/>
      <c r="Q32" s="52"/>
      <c r="R32" s="48"/>
      <c r="S32" s="52"/>
      <c r="T32" s="52"/>
      <c r="U32" s="52"/>
      <c r="V32" s="52"/>
      <c r="W32" s="45"/>
    </row>
    <row r="33" spans="1:23">
      <c r="A33" s="1" t="s">
        <v>74</v>
      </c>
      <c r="B33" s="1"/>
      <c r="C33" s="45"/>
      <c r="D33" s="45"/>
      <c r="E33" s="53"/>
      <c r="F33" s="53"/>
      <c r="G33" s="53"/>
      <c r="H33" s="47"/>
      <c r="I33" s="53"/>
      <c r="J33" s="53"/>
      <c r="K33" s="53"/>
      <c r="L33" s="53"/>
      <c r="M33" s="48"/>
      <c r="N33" s="53"/>
      <c r="O33" s="53"/>
      <c r="P33" s="53"/>
      <c r="Q33" s="53"/>
      <c r="R33" s="48"/>
      <c r="S33" s="53"/>
      <c r="T33" s="53"/>
      <c r="U33" s="53"/>
      <c r="V33" s="53"/>
      <c r="W33" s="45"/>
    </row>
    <row r="34" spans="1:23" ht="15.75">
      <c r="A34" s="45"/>
      <c r="B34" s="20" t="s">
        <v>83</v>
      </c>
      <c r="C34" s="45"/>
      <c r="D34" s="54">
        <f>(D4*D9 - D15)/(D4*D9)</f>
        <v>0.70902551200000008</v>
      </c>
      <c r="E34" s="54">
        <f>(E4*E9 - E15)/(E4*E9)</f>
        <v>0.80572312499999998</v>
      </c>
      <c r="F34" s="54">
        <f>(F4*F9 - F15)/(F4*F9)</f>
        <v>0.89629856159999999</v>
      </c>
      <c r="G34" s="54">
        <f>(G4*G9 - G15)/(G4*G9)</f>
        <v>0.97266257410000001</v>
      </c>
      <c r="H34" s="47"/>
      <c r="I34" s="54">
        <f>(I4*I9 - I15)/(I4*I9)</f>
        <v>0.99999999360559255</v>
      </c>
      <c r="J34" s="54">
        <f>(J4*J9 - J15)/(J4*J9)</f>
        <v>0.99999999311208376</v>
      </c>
      <c r="K34" s="54">
        <f>(K4*K9 - K15)/(K4*K9)</f>
        <v>0.99999999391029626</v>
      </c>
      <c r="L34" s="54">
        <f>(L4*L9 - L15)/(L4*L9)</f>
        <v>0.9999999948119751</v>
      </c>
      <c r="M34" s="48"/>
      <c r="N34" s="54">
        <f>(N4*N9 - N15)/(N4*N9)</f>
        <v>0.72633196000000011</v>
      </c>
      <c r="O34" s="40">
        <f>(O4*O9 - O15)/(O4*O9)</f>
        <v>0.82173593480000007</v>
      </c>
      <c r="P34" s="40">
        <f>(P4*P9 - P15)/(P4*P9)</f>
        <v>0.90805440920000002</v>
      </c>
      <c r="Q34" s="40">
        <f>(Q4*Q9 - Q15)/(Q4*Q9)</f>
        <v>0.97699311700000002</v>
      </c>
      <c r="R34" s="48"/>
      <c r="S34" s="54">
        <f>(S4*S9 - S15)/(S4*S9)</f>
        <v>0.99999998071587304</v>
      </c>
      <c r="T34" s="54">
        <f>(T4*T9 - T15)/(T4*T9)</f>
        <v>0.99999997965577836</v>
      </c>
      <c r="U34" s="54">
        <f>(U4*U9 - U15)/(U4*U9)</f>
        <v>0.99999998228264853</v>
      </c>
      <c r="V34" s="54">
        <f>(V4*V9 - V15)/(V4*V9)</f>
        <v>0.99999998510475618</v>
      </c>
      <c r="W34" s="45"/>
    </row>
    <row r="35" spans="1:23">
      <c r="A35" s="45"/>
      <c r="B35" s="45"/>
      <c r="C35" s="45"/>
      <c r="D35" s="53"/>
      <c r="E35" s="53"/>
      <c r="F35" s="53"/>
      <c r="G35" s="53"/>
      <c r="H35" s="47"/>
      <c r="I35" s="53"/>
      <c r="J35" s="53"/>
      <c r="K35" s="53"/>
      <c r="L35" s="53"/>
      <c r="M35" s="48"/>
      <c r="N35" s="53"/>
      <c r="O35" s="53"/>
      <c r="P35" s="53"/>
      <c r="Q35" s="53"/>
      <c r="R35" s="48"/>
      <c r="S35" s="53"/>
      <c r="T35" s="53"/>
      <c r="U35" s="53"/>
      <c r="V35" s="53"/>
      <c r="W35" s="45"/>
    </row>
    <row r="36" spans="1:23" ht="15.75">
      <c r="A36" s="45"/>
      <c r="B36" s="45" t="s">
        <v>76</v>
      </c>
      <c r="C36" s="45"/>
      <c r="D36" s="53">
        <f>D29/D27</f>
        <v>1.0066437189430943</v>
      </c>
      <c r="E36" s="53">
        <f>E29/E27</f>
        <v>1.0354912022003242</v>
      </c>
      <c r="F36" s="53">
        <f>F29/F27</f>
        <v>1.07419619709415</v>
      </c>
      <c r="G36" s="53">
        <f>G29/G27</f>
        <v>1.1288692652808141</v>
      </c>
      <c r="H36" s="47"/>
      <c r="I36" s="53">
        <f>I29/I27</f>
        <v>1.190072723737249</v>
      </c>
      <c r="J36" s="53">
        <f>J29/J27</f>
        <v>1.2348095827184054</v>
      </c>
      <c r="K36" s="53">
        <f>K29/K27</f>
        <v>1.2777547666037488</v>
      </c>
      <c r="L36" s="53">
        <f>L29/L27</f>
        <v>1.3190875050456918</v>
      </c>
      <c r="M36" s="48"/>
      <c r="N36" s="53">
        <f>N29/N27</f>
        <v>0.90668504055909893</v>
      </c>
      <c r="O36" s="53">
        <f>O29/O27</f>
        <v>0.93198533664289551</v>
      </c>
      <c r="P36" s="53">
        <f>P29/P27</f>
        <v>0.96616415129254896</v>
      </c>
      <c r="Q36" s="53">
        <f>Q29/Q27</f>
        <v>1.0140486235325121</v>
      </c>
      <c r="R36" s="48"/>
      <c r="S36" s="53">
        <f>S29/S27</f>
        <v>1.0665719006345489</v>
      </c>
      <c r="T36" s="53">
        <f>T29/T27</f>
        <v>1.1054314303238864</v>
      </c>
      <c r="U36" s="53">
        <f>U29/U27</f>
        <v>1.1428132980440886</v>
      </c>
      <c r="V36" s="53">
        <f>V29/V27</f>
        <v>1.1788552392436251</v>
      </c>
      <c r="W36" s="45"/>
    </row>
    <row r="37" spans="1:23">
      <c r="A37" s="45"/>
      <c r="B37" s="45" t="s">
        <v>77</v>
      </c>
      <c r="C37" s="45"/>
      <c r="D37" s="53"/>
      <c r="E37" s="53"/>
      <c r="F37" s="53"/>
      <c r="G37" s="53"/>
      <c r="H37" s="47"/>
      <c r="I37" s="53"/>
      <c r="J37" s="53"/>
      <c r="K37" s="53"/>
      <c r="L37" s="53"/>
      <c r="M37" s="48"/>
      <c r="N37" s="53"/>
      <c r="O37" s="53"/>
      <c r="P37" s="53"/>
      <c r="Q37" s="53"/>
      <c r="R37" s="48"/>
      <c r="S37" s="53"/>
      <c r="T37" s="53"/>
      <c r="U37" s="53"/>
      <c r="V37" s="53"/>
      <c r="W37" s="45"/>
    </row>
    <row r="38" spans="1:23">
      <c r="A38" s="45"/>
      <c r="B38" s="45"/>
      <c r="C38" s="11" t="s">
        <v>78</v>
      </c>
      <c r="D38" s="53">
        <f>5*D20+6*D21+7*D22+8*D23+9*D24+10*D25+11*D26</f>
        <v>0.91504397600000009</v>
      </c>
      <c r="E38" s="53">
        <f>5*E20+6*E21+7*E22+8*E23+9*E24+10*E25+11*E26</f>
        <v>0.947880999</v>
      </c>
      <c r="F38" s="53">
        <f>5*F20+6*F21+7*F22+8*F23+9*F24+10*F25+11*F26</f>
        <v>0.96217270799999999</v>
      </c>
      <c r="G38" s="53">
        <f>5*G20+6*G21+7*G22+8*G23+9*G24+10*G25+11*G26</f>
        <v>0.94937705699999986</v>
      </c>
      <c r="H38" s="47"/>
      <c r="I38" s="53">
        <f>5*I20+6*I21+7*I22+8*I23+9*I24+10*I25+11*I26</f>
        <v>0.8853637459999999</v>
      </c>
      <c r="J38" s="53">
        <f>5*J20+6*J21+7*J22+8*J23+9*J24+10*J25+11*J26</f>
        <v>0.81246519100000003</v>
      </c>
      <c r="K38" s="53">
        <f>5*K20+6*K21+7*K22+8*K23+9*K24+10*K25+11*K26</f>
        <v>0.74929103489999993</v>
      </c>
      <c r="L38" s="53">
        <f>5*L20+6*L21+7*L22+8*L23+9*L24+10*L25+11*L26</f>
        <v>0.69412174180000008</v>
      </c>
      <c r="M38" s="48"/>
      <c r="N38" s="53">
        <f>5*N20+6*N21+7*N22+8*N23+9*N24+10*N25+11*N26</f>
        <v>0.98579529299999991</v>
      </c>
      <c r="O38" s="53">
        <f>5*O20+6*O21+7*O22+8*O23+9*O24+10*O25+11*O26</f>
        <v>1.0220543639999999</v>
      </c>
      <c r="P38" s="53">
        <f>5*P20+6*P21+7*P22+8*P23+9*P24+10*P25+11*P26</f>
        <v>1.036785818</v>
      </c>
      <c r="Q38" s="53">
        <f>5*Q20+6*Q21+7*Q22+8*Q23+9*Q24+10*Q25+11*Q26</f>
        <v>1.0211927119999999</v>
      </c>
      <c r="R38" s="48"/>
      <c r="S38" s="53">
        <f>5*S20+6*S21+7*S22+8*S23+9*S24+10*S25+11*S26</f>
        <v>0.952665659</v>
      </c>
      <c r="T38" s="53">
        <f>5*T20+6*T21+7*T22+8*T23+9*T24+10*T25+11*T26</f>
        <v>0.87584953999999993</v>
      </c>
      <c r="U38" s="53">
        <f>5*U20+6*U21+7*U22+8*U23+9*U24+10*U25+11*U26</f>
        <v>0.80902223799999995</v>
      </c>
      <c r="V38" s="53">
        <f>5*V20+6*V21+7*V22+8*V23+9*V24+10*V25+11*V26</f>
        <v>0.75048724860000005</v>
      </c>
      <c r="W38" s="45"/>
    </row>
    <row r="39" spans="1:23">
      <c r="A39" s="11"/>
      <c r="B39" s="22" t="s">
        <v>32</v>
      </c>
      <c r="C39" s="11" t="s">
        <v>79</v>
      </c>
      <c r="D39" s="53">
        <f>D10</f>
        <v>4.166666666666667</v>
      </c>
      <c r="E39" s="53">
        <f>E10</f>
        <v>3.8461538461538458</v>
      </c>
      <c r="F39" s="53">
        <f>F10</f>
        <v>3.5714285714285716</v>
      </c>
      <c r="G39" s="53">
        <f>G10</f>
        <v>3.333333333333333</v>
      </c>
      <c r="H39" s="47"/>
      <c r="I39" s="53">
        <f>I10</f>
        <v>3.125</v>
      </c>
      <c r="J39" s="53">
        <f>J10</f>
        <v>2.9411764705882355</v>
      </c>
      <c r="K39" s="53">
        <f>K10</f>
        <v>2.7777777777777777</v>
      </c>
      <c r="L39" s="53">
        <f>L10</f>
        <v>2.6315789473684208</v>
      </c>
      <c r="M39" s="48"/>
      <c r="N39" s="53">
        <f>N10</f>
        <v>4.166666666666667</v>
      </c>
      <c r="O39" s="53">
        <f>O10</f>
        <v>3.8461538461538458</v>
      </c>
      <c r="P39" s="53">
        <f>P10</f>
        <v>3.5714285714285716</v>
      </c>
      <c r="Q39" s="53">
        <f>Q10</f>
        <v>3.333333333333333</v>
      </c>
      <c r="R39" s="48"/>
      <c r="S39" s="53">
        <f>S10</f>
        <v>3.125</v>
      </c>
      <c r="T39" s="53">
        <f>T10</f>
        <v>2.9411764705882355</v>
      </c>
      <c r="U39" s="53">
        <f>U10</f>
        <v>2.7777777777777777</v>
      </c>
      <c r="V39" s="53">
        <f>V10</f>
        <v>2.6315789473684208</v>
      </c>
      <c r="W39" s="45"/>
    </row>
    <row r="40" spans="1:23" ht="15.75">
      <c r="A40" s="45"/>
      <c r="B40" s="11" t="s">
        <v>80</v>
      </c>
      <c r="C40" s="11" t="s">
        <v>81</v>
      </c>
      <c r="D40" s="54">
        <f>D38/D39</f>
        <v>0.21961055424000001</v>
      </c>
      <c r="E40" s="54">
        <f>E38/E39</f>
        <v>0.24644905974000003</v>
      </c>
      <c r="F40" s="54">
        <f>F38/F39</f>
        <v>0.26940835823999998</v>
      </c>
      <c r="G40" s="54">
        <f>G38/G39</f>
        <v>0.28481311709999996</v>
      </c>
      <c r="H40" s="47"/>
      <c r="I40" s="41">
        <f>I38/I39</f>
        <v>0.28331639871999997</v>
      </c>
      <c r="J40" s="41">
        <f>J38/J39</f>
        <v>0.27623816493999998</v>
      </c>
      <c r="K40" s="41">
        <f>K38/K39</f>
        <v>0.26974477256399998</v>
      </c>
      <c r="L40" s="41">
        <f>L38/L39</f>
        <v>0.26376626188400004</v>
      </c>
      <c r="M40" s="48"/>
      <c r="N40" s="54">
        <f>N38/N39</f>
        <v>0.23659087031999995</v>
      </c>
      <c r="O40" s="42">
        <f>O38/O39</f>
        <v>0.26573413464000001</v>
      </c>
      <c r="P40" s="42">
        <f>P38/P39</f>
        <v>0.29030002904000002</v>
      </c>
      <c r="Q40" s="42">
        <f>Q38/Q39</f>
        <v>0.30635781360000003</v>
      </c>
      <c r="R40" s="47"/>
      <c r="S40" s="54">
        <f>S38/S39</f>
        <v>0.30485301088</v>
      </c>
      <c r="T40" s="54">
        <f>T38/T39</f>
        <v>0.29778884359999996</v>
      </c>
      <c r="U40" s="54">
        <f>U38/U39</f>
        <v>0.29124800567999998</v>
      </c>
      <c r="V40" s="54">
        <f>V38/V39</f>
        <v>0.28518515446800002</v>
      </c>
      <c r="W40" s="45"/>
    </row>
    <row r="41" spans="1:23">
      <c r="A41" s="45"/>
      <c r="B41" s="45"/>
      <c r="C41" s="45"/>
      <c r="D41" s="53"/>
      <c r="E41" s="53"/>
      <c r="F41" s="53"/>
      <c r="G41" s="53"/>
      <c r="H41" s="47"/>
      <c r="I41" s="53"/>
      <c r="J41" s="53"/>
      <c r="K41" s="53"/>
      <c r="L41" s="53"/>
      <c r="M41" s="48"/>
      <c r="N41" s="53"/>
      <c r="O41" s="53"/>
      <c r="P41" s="53"/>
      <c r="Q41" s="53"/>
      <c r="R41" s="48"/>
      <c r="S41" s="53"/>
      <c r="T41" s="53"/>
      <c r="U41" s="53"/>
      <c r="V41" s="53"/>
      <c r="W41" s="45"/>
    </row>
    <row r="42" spans="1:23">
      <c r="A42" s="45"/>
      <c r="B42" s="45"/>
      <c r="C42" s="45"/>
      <c r="D42" s="53"/>
      <c r="E42" s="53"/>
      <c r="F42" s="53"/>
      <c r="G42" s="53"/>
      <c r="H42" s="47"/>
      <c r="I42" s="53"/>
      <c r="J42" s="53"/>
      <c r="K42" s="53"/>
      <c r="L42" s="53"/>
      <c r="M42" s="48"/>
      <c r="N42" s="53"/>
      <c r="O42" s="53"/>
      <c r="P42" s="53"/>
      <c r="Q42" s="53"/>
      <c r="R42" s="48"/>
      <c r="S42" s="53"/>
      <c r="T42" s="53"/>
      <c r="U42" s="53"/>
      <c r="V42" s="53"/>
      <c r="W42" s="45"/>
    </row>
    <row r="43" spans="1:23">
      <c r="A43" s="45"/>
      <c r="B43" s="45"/>
      <c r="C43" s="11" t="s">
        <v>78</v>
      </c>
      <c r="D43" s="53">
        <f>D38</f>
        <v>0.91504397600000009</v>
      </c>
      <c r="E43" s="53">
        <f>E38</f>
        <v>0.947880999</v>
      </c>
      <c r="F43" s="53">
        <f>F38</f>
        <v>0.96217270799999999</v>
      </c>
      <c r="G43" s="53">
        <f>G38</f>
        <v>0.94937705699999986</v>
      </c>
      <c r="H43" s="47"/>
      <c r="I43" s="53">
        <f>I38</f>
        <v>0.8853637459999999</v>
      </c>
      <c r="J43" s="53">
        <f>J38</f>
        <v>0.81246519100000003</v>
      </c>
      <c r="K43" s="53">
        <f>K38</f>
        <v>0.74929103489999993</v>
      </c>
      <c r="L43" s="53">
        <f>L38</f>
        <v>0.69412174180000008</v>
      </c>
      <c r="M43" s="48"/>
      <c r="N43" s="53">
        <f>N38</f>
        <v>0.98579529299999991</v>
      </c>
      <c r="O43" s="53">
        <f>O38</f>
        <v>1.0220543639999999</v>
      </c>
      <c r="P43" s="53">
        <f>P38</f>
        <v>1.036785818</v>
      </c>
      <c r="Q43" s="53">
        <f>Q38</f>
        <v>1.0211927119999999</v>
      </c>
      <c r="R43" s="48"/>
      <c r="S43" s="53">
        <f>S38</f>
        <v>0.952665659</v>
      </c>
      <c r="T43" s="53">
        <f>T38</f>
        <v>0.87584953999999993</v>
      </c>
      <c r="U43" s="53">
        <f>U38</f>
        <v>0.80902223799999995</v>
      </c>
      <c r="V43" s="53">
        <f>V38</f>
        <v>0.75048724860000005</v>
      </c>
      <c r="W43" s="45"/>
    </row>
    <row r="44" spans="1:23">
      <c r="A44" s="45"/>
      <c r="B44" s="43" t="s">
        <v>32</v>
      </c>
      <c r="C44" s="11" t="s">
        <v>79</v>
      </c>
      <c r="D44" s="53">
        <f>D39*D34</f>
        <v>2.9542729666666672</v>
      </c>
      <c r="E44" s="53">
        <f>E39*E34</f>
        <v>3.0989350961538458</v>
      </c>
      <c r="F44" s="53">
        <f>F39*F34</f>
        <v>3.2010662914285715</v>
      </c>
      <c r="G44" s="53">
        <f>G39*G34</f>
        <v>3.2422085803333331</v>
      </c>
      <c r="H44" s="47"/>
      <c r="I44" s="53">
        <f>I39*I34</f>
        <v>3.1249999800174768</v>
      </c>
      <c r="J44" s="53">
        <f>J39*J34</f>
        <v>2.9411764503296585</v>
      </c>
      <c r="K44" s="53">
        <f>K39*K34</f>
        <v>2.7777777608619338</v>
      </c>
      <c r="L44" s="53">
        <f>L39*L34</f>
        <v>2.6315789337157236</v>
      </c>
      <c r="M44" s="48"/>
      <c r="N44" s="53">
        <f>N39*N34</f>
        <v>3.0263831666666672</v>
      </c>
      <c r="O44" s="53">
        <f>O39*O34</f>
        <v>3.1605228261538461</v>
      </c>
      <c r="P44" s="53">
        <f>P39*P34</f>
        <v>3.2430514614285717</v>
      </c>
      <c r="Q44" s="53">
        <f>Q39*Q34</f>
        <v>3.2566437233333332</v>
      </c>
      <c r="R44" s="48"/>
      <c r="S44" s="53">
        <f>S39*S34</f>
        <v>3.1249999397371031</v>
      </c>
      <c r="T44" s="53">
        <f>T39*T34</f>
        <v>2.9411764107522895</v>
      </c>
      <c r="U44" s="53">
        <f>U39*U34</f>
        <v>2.7777777285629126</v>
      </c>
      <c r="V44" s="53">
        <f>V39*V34</f>
        <v>2.6315789081704106</v>
      </c>
      <c r="W44" s="45"/>
    </row>
    <row r="45" spans="1:23" ht="15.75">
      <c r="A45" s="45"/>
      <c r="B45" s="11" t="s">
        <v>82</v>
      </c>
      <c r="C45" s="11" t="s">
        <v>81</v>
      </c>
      <c r="D45" s="54">
        <f>D43/D44</f>
        <v>0.30973575777340995</v>
      </c>
      <c r="E45" s="54">
        <f>E43/E44</f>
        <v>0.30587313692901646</v>
      </c>
      <c r="F45" s="54">
        <f>F43/F44</f>
        <v>0.30057881355859134</v>
      </c>
      <c r="G45" s="54">
        <f>G43/G44</f>
        <v>0.29281800768733823</v>
      </c>
      <c r="H45" s="47"/>
      <c r="I45" s="54">
        <f>I43/I44</f>
        <v>0.28331640053164048</v>
      </c>
      <c r="J45" s="54">
        <f>J43/J44</f>
        <v>0.27623816684270536</v>
      </c>
      <c r="K45" s="54">
        <f>K43/K44</f>
        <v>0.26974477420666576</v>
      </c>
      <c r="L45" s="54">
        <f>L43/L44</f>
        <v>0.26376626325242603</v>
      </c>
      <c r="M45" s="48"/>
      <c r="N45" s="54">
        <f>N43/N44</f>
        <v>0.32573380127731116</v>
      </c>
      <c r="O45" s="54">
        <f>O43/O44</f>
        <v>0.32338142143519166</v>
      </c>
      <c r="P45" s="54">
        <f>P43/P44</f>
        <v>0.31969453162586986</v>
      </c>
      <c r="Q45" s="54">
        <f>Q43/Q44</f>
        <v>0.31357213092832875</v>
      </c>
      <c r="R45" s="47"/>
      <c r="S45" s="54">
        <f>S43/S44</f>
        <v>0.30485301675882431</v>
      </c>
      <c r="T45" s="54">
        <f>T43/T44</f>
        <v>0.29778884965828228</v>
      </c>
      <c r="U45" s="54">
        <f>U43/U44</f>
        <v>0.29124801084014335</v>
      </c>
      <c r="V45" s="54">
        <f>V43/V44</f>
        <v>0.28518515871590255</v>
      </c>
      <c r="W45" s="45"/>
    </row>
    <row r="46" spans="1:23">
      <c r="A46" s="45"/>
      <c r="B46" s="45"/>
      <c r="C46" s="45"/>
      <c r="D46" s="53"/>
      <c r="E46" s="53"/>
      <c r="F46" s="53"/>
      <c r="G46" s="53"/>
      <c r="H46" s="47"/>
      <c r="I46" s="53"/>
      <c r="J46" s="53"/>
      <c r="K46" s="53"/>
      <c r="L46" s="53"/>
      <c r="M46" s="48"/>
      <c r="N46" s="53"/>
      <c r="O46" s="53"/>
      <c r="P46" s="53"/>
      <c r="Q46" s="53"/>
      <c r="R46" s="48"/>
      <c r="S46" s="53"/>
      <c r="T46" s="53"/>
      <c r="U46" s="53"/>
      <c r="V46" s="53"/>
      <c r="W46" s="45"/>
    </row>
    <row r="47" spans="1:23">
      <c r="A47" s="45"/>
      <c r="B47" s="45"/>
      <c r="C47" s="11" t="s">
        <v>98</v>
      </c>
      <c r="D47" s="53">
        <f t="shared" ref="D47:G52" si="11">D21/D20</f>
        <v>0.87773610100789123</v>
      </c>
      <c r="E47" s="53">
        <f t="shared" si="11"/>
        <v>0.8801007477687921</v>
      </c>
      <c r="F47" s="53">
        <f t="shared" si="11"/>
        <v>0.8830382105701674</v>
      </c>
      <c r="G47" s="53">
        <f t="shared" si="11"/>
        <v>0.88659772554574712</v>
      </c>
      <c r="H47" s="47"/>
      <c r="I47" s="53">
        <f t="shared" ref="I47:L47" si="12">I21/I20</f>
        <v>0.88977056881101402</v>
      </c>
      <c r="J47" s="53">
        <f t="shared" si="12"/>
        <v>0.89212192773188759</v>
      </c>
      <c r="K47" s="53">
        <f t="shared" si="12"/>
        <v>0.89422990634799104</v>
      </c>
      <c r="L47" s="53">
        <f t="shared" si="12"/>
        <v>0.89613825501127709</v>
      </c>
      <c r="M47" s="48"/>
      <c r="N47" s="53">
        <f t="shared" ref="N47:Q47" si="13">N21/N20</f>
        <v>0.86931435283174607</v>
      </c>
      <c r="O47" s="53">
        <f t="shared" si="13"/>
        <v>0.87185151359958168</v>
      </c>
      <c r="P47" s="53">
        <f t="shared" si="13"/>
        <v>0.87500522105747092</v>
      </c>
      <c r="Q47" s="53">
        <f t="shared" si="13"/>
        <v>0.87877174694815441</v>
      </c>
      <c r="R47" s="48"/>
      <c r="S47" s="53">
        <f t="shared" ref="S47:V47" si="14">S21/S20</f>
        <v>0.88207721232813963</v>
      </c>
      <c r="T47" s="53">
        <f t="shared" si="14"/>
        <v>0.88455676804671457</v>
      </c>
      <c r="U47" s="53">
        <f t="shared" si="14"/>
        <v>0.88678183022365931</v>
      </c>
      <c r="V47" s="53">
        <f t="shared" si="14"/>
        <v>0.88879741157372372</v>
      </c>
      <c r="W47" s="45"/>
    </row>
    <row r="48" spans="1:23" ht="18.75" customHeight="1">
      <c r="A48" s="45"/>
      <c r="C48" s="11" t="s">
        <v>99</v>
      </c>
      <c r="D48" s="53">
        <f t="shared" si="11"/>
        <v>0.87785344027518331</v>
      </c>
      <c r="E48" s="53">
        <f t="shared" si="11"/>
        <v>0.88019927213979055</v>
      </c>
      <c r="F48" s="53">
        <f t="shared" si="11"/>
        <v>0.88311794126815168</v>
      </c>
      <c r="G48" s="53">
        <f t="shared" si="11"/>
        <v>0.88667236516156467</v>
      </c>
      <c r="H48" s="47"/>
      <c r="I48" s="53">
        <f t="shared" ref="I48:L48" si="15">I22/I21</f>
        <v>0.88985809208269495</v>
      </c>
      <c r="J48" s="53">
        <f t="shared" si="15"/>
        <v>0.89220761993317677</v>
      </c>
      <c r="K48" s="53">
        <f t="shared" si="15"/>
        <v>0.89431471221713044</v>
      </c>
      <c r="L48" s="53">
        <f t="shared" si="15"/>
        <v>0.89622261645726553</v>
      </c>
      <c r="M48" s="48"/>
      <c r="N48" s="53">
        <f t="shared" ref="N48:Q48" si="16">N22/N21</f>
        <v>0.86944444606177684</v>
      </c>
      <c r="O48" s="53">
        <f t="shared" si="16"/>
        <v>0.87196039241789469</v>
      </c>
      <c r="P48" s="53">
        <f t="shared" si="16"/>
        <v>0.87509370816170862</v>
      </c>
      <c r="Q48" s="53">
        <f t="shared" si="16"/>
        <v>0.87885612111492817</v>
      </c>
      <c r="R48" s="48"/>
      <c r="S48" s="53">
        <f t="shared" ref="S48:V48" si="17">S22/S21</f>
        <v>0.88217553262169468</v>
      </c>
      <c r="T48" s="53">
        <f t="shared" si="17"/>
        <v>0.88465307420946337</v>
      </c>
      <c r="U48" s="53">
        <f t="shared" si="17"/>
        <v>0.88687707157765394</v>
      </c>
      <c r="V48" s="53">
        <f t="shared" si="17"/>
        <v>0.88889221326955081</v>
      </c>
      <c r="W48" s="45"/>
    </row>
    <row r="49" spans="1:23" ht="12.75" customHeight="1">
      <c r="A49" s="45"/>
      <c r="C49" s="11" t="s">
        <v>100</v>
      </c>
      <c r="D49" s="53">
        <f t="shared" si="11"/>
        <v>0.87797425899843717</v>
      </c>
      <c r="E49" s="53">
        <f t="shared" si="11"/>
        <v>0.88030110794593475</v>
      </c>
      <c r="F49" s="53">
        <f t="shared" si="11"/>
        <v>0.8832006226396597</v>
      </c>
      <c r="G49" s="53">
        <f t="shared" si="11"/>
        <v>0.88674950920113049</v>
      </c>
      <c r="H49" s="45"/>
      <c r="I49" s="53">
        <f t="shared" ref="I49:L49" si="18">I23/I22</f>
        <v>0.88994849832618605</v>
      </c>
      <c r="J49" s="53">
        <f t="shared" si="18"/>
        <v>0.89229634627914189</v>
      </c>
      <c r="K49" s="53">
        <f t="shared" si="18"/>
        <v>0.89440245049164846</v>
      </c>
      <c r="L49" s="53">
        <f t="shared" si="18"/>
        <v>0.8963099643146557</v>
      </c>
      <c r="M49" s="45"/>
      <c r="N49" s="53">
        <f t="shared" ref="N49:Q49" si="19">N23/N22</f>
        <v>0.86957878753917028</v>
      </c>
      <c r="O49" s="53">
        <f t="shared" si="19"/>
        <v>0.87207314393909774</v>
      </c>
      <c r="P49" s="53">
        <f t="shared" si="19"/>
        <v>0.87518567445101703</v>
      </c>
      <c r="Q49" s="53">
        <f t="shared" si="19"/>
        <v>0.87894373393181269</v>
      </c>
      <c r="R49" s="45"/>
      <c r="S49" s="53">
        <f t="shared" ref="S49:V49" si="20">S23/S22</f>
        <v>0.88227752774694546</v>
      </c>
      <c r="T49" s="53">
        <f t="shared" si="20"/>
        <v>0.88475306497201767</v>
      </c>
      <c r="U49" s="53">
        <f t="shared" si="20"/>
        <v>0.88697603112917267</v>
      </c>
      <c r="V49" s="53">
        <f t="shared" si="20"/>
        <v>0.88899077300344898</v>
      </c>
      <c r="W49" s="45"/>
    </row>
    <row r="50" spans="1:23">
      <c r="A50" s="45"/>
      <c r="C50" s="11" t="s">
        <v>101</v>
      </c>
      <c r="D50" s="53">
        <f t="shared" si="11"/>
        <v>0.87809882749301638</v>
      </c>
      <c r="E50" s="53">
        <f t="shared" si="11"/>
        <v>0.88040634565781417</v>
      </c>
      <c r="F50" s="53">
        <f t="shared" si="11"/>
        <v>0.8832863158184171</v>
      </c>
      <c r="G50" s="53">
        <f t="shared" si="11"/>
        <v>0.88682937170343668</v>
      </c>
      <c r="H50" s="45"/>
      <c r="I50" s="53">
        <f t="shared" ref="I50:L50" si="21">I24/I23</f>
        <v>0.89004207870866592</v>
      </c>
      <c r="J50" s="53">
        <f t="shared" si="21"/>
        <v>0.89238801043134264</v>
      </c>
      <c r="K50" s="53">
        <f t="shared" si="21"/>
        <v>0.89449324129882601</v>
      </c>
      <c r="L50" s="53">
        <f t="shared" si="21"/>
        <v>0.89640025065142559</v>
      </c>
      <c r="M50" s="45"/>
      <c r="N50" s="53">
        <f t="shared" ref="N50:Q50" si="22">N24/N23</f>
        <v>0.86971766506896986</v>
      </c>
      <c r="O50" s="53">
        <f t="shared" si="22"/>
        <v>0.87219015582755921</v>
      </c>
      <c r="P50" s="53">
        <f t="shared" si="22"/>
        <v>0.87528134520932344</v>
      </c>
      <c r="Q50" s="53">
        <f t="shared" si="22"/>
        <v>0.87903460152322921</v>
      </c>
      <c r="R50" s="45"/>
      <c r="S50" s="53">
        <f t="shared" ref="S50:V50" si="23">S24/S23</f>
        <v>0.88238345392239448</v>
      </c>
      <c r="T50" s="53">
        <f t="shared" si="23"/>
        <v>0.88485683461592068</v>
      </c>
      <c r="U50" s="53">
        <f t="shared" si="23"/>
        <v>0.8870787485658167</v>
      </c>
      <c r="V50" s="53">
        <f t="shared" si="23"/>
        <v>0.88909310922902762</v>
      </c>
      <c r="W50" s="45"/>
    </row>
    <row r="51" spans="1:23">
      <c r="A51" s="45"/>
      <c r="C51" s="11" t="s">
        <v>102</v>
      </c>
      <c r="D51" s="53">
        <f t="shared" si="11"/>
        <v>0.87822733149910903</v>
      </c>
      <c r="E51" s="53">
        <f t="shared" si="11"/>
        <v>0.88051529591902022</v>
      </c>
      <c r="F51" s="53">
        <f t="shared" si="11"/>
        <v>0.88337525791688254</v>
      </c>
      <c r="G51" s="53">
        <f t="shared" si="11"/>
        <v>0.8869121174452359</v>
      </c>
      <c r="H51" s="45"/>
      <c r="I51" s="53">
        <f t="shared" ref="I51:L51" si="24">I25/I24</f>
        <v>0.89013902730845873</v>
      </c>
      <c r="J51" s="53">
        <f t="shared" si="24"/>
        <v>0.89248302811455815</v>
      </c>
      <c r="K51" s="53">
        <f t="shared" si="24"/>
        <v>0.89458719734416292</v>
      </c>
      <c r="L51" s="53">
        <f t="shared" si="24"/>
        <v>0.89649369372700094</v>
      </c>
      <c r="M51" s="45"/>
      <c r="N51" s="53">
        <f t="shared" ref="N51:Q51" si="25">N25/N24</f>
        <v>0.869861235832043</v>
      </c>
      <c r="O51" s="53">
        <f t="shared" si="25"/>
        <v>0.87231155695454887</v>
      </c>
      <c r="P51" s="53">
        <f t="shared" si="25"/>
        <v>0.87538106118019021</v>
      </c>
      <c r="Q51" s="53">
        <f t="shared" si="25"/>
        <v>0.87912900794019611</v>
      </c>
      <c r="R51" s="45"/>
      <c r="S51" s="53">
        <f t="shared" ref="S51:V51" si="26">S25/S24</f>
        <v>0.88249342327171831</v>
      </c>
      <c r="T51" s="53">
        <f t="shared" si="26"/>
        <v>0.88496469632854136</v>
      </c>
      <c r="U51" s="53">
        <f t="shared" si="26"/>
        <v>0.88718561281748487</v>
      </c>
      <c r="V51" s="53">
        <f t="shared" si="26"/>
        <v>0.88919948341761945</v>
      </c>
      <c r="W51" s="45"/>
    </row>
    <row r="52" spans="1:23">
      <c r="A52" s="45"/>
      <c r="C52" s="11" t="s">
        <v>103</v>
      </c>
      <c r="D52" s="53">
        <f t="shared" si="11"/>
        <v>0.87836005897036651</v>
      </c>
      <c r="E52" s="53">
        <f t="shared" si="11"/>
        <v>0.88062806219681444</v>
      </c>
      <c r="F52" s="53">
        <f t="shared" si="11"/>
        <v>0.88346775308743952</v>
      </c>
      <c r="G52" s="53">
        <f t="shared" si="11"/>
        <v>0.88699783378067787</v>
      </c>
      <c r="H52" s="45"/>
      <c r="I52" s="53">
        <f t="shared" ref="I52:L52" si="27">I26/I25</f>
        <v>0.89023928732484814</v>
      </c>
      <c r="J52" s="53">
        <f t="shared" si="27"/>
        <v>0.89258135380421377</v>
      </c>
      <c r="K52" s="53">
        <f t="shared" si="27"/>
        <v>0.89468449737499944</v>
      </c>
      <c r="L52" s="53">
        <f t="shared" si="27"/>
        <v>0.89659058989037244</v>
      </c>
      <c r="M52" s="45"/>
      <c r="N52" s="53">
        <f t="shared" ref="N52:Q52" si="28">N26/N25</f>
        <v>0.87000998818533715</v>
      </c>
      <c r="O52" s="53">
        <f t="shared" si="28"/>
        <v>0.87243773992943929</v>
      </c>
      <c r="P52" s="53">
        <f t="shared" si="28"/>
        <v>0.87548489642701721</v>
      </c>
      <c r="Q52" s="53">
        <f t="shared" si="28"/>
        <v>0.87922728610064738</v>
      </c>
      <c r="R52" s="45"/>
      <c r="S52" s="53">
        <f t="shared" ref="S52:V52" si="29">S26/S25</f>
        <v>0.88260780914740733</v>
      </c>
      <c r="T52" s="53">
        <f t="shared" si="29"/>
        <v>0.88507681353532774</v>
      </c>
      <c r="U52" s="53">
        <f t="shared" si="29"/>
        <v>0.88729661904930612</v>
      </c>
      <c r="V52" s="53">
        <f t="shared" si="29"/>
        <v>0.88931012887991501</v>
      </c>
      <c r="W52" s="45"/>
    </row>
    <row r="53" spans="1:23">
      <c r="A53" s="45"/>
      <c r="C53" s="2" t="s">
        <v>108</v>
      </c>
      <c r="D53" s="67">
        <f>SUM(D47:D52)/6</f>
        <v>0.87804166970733399</v>
      </c>
      <c r="E53" s="53">
        <f>SUM(E47:E52)/6</f>
        <v>0.88035847193802763</v>
      </c>
      <c r="F53" s="53">
        <f>SUM(F47:F52)/6</f>
        <v>0.88324768355011951</v>
      </c>
      <c r="G53" s="67">
        <f>SUM(G47:G52)/6</f>
        <v>0.88679315380629864</v>
      </c>
      <c r="H53" s="45"/>
      <c r="I53" s="53">
        <f>SUM(I47:I52)/6</f>
        <v>0.88999959209364476</v>
      </c>
      <c r="J53" s="53">
        <f>SUM(J47:J52)/6</f>
        <v>0.89234638104905351</v>
      </c>
      <c r="K53" s="53">
        <f>SUM(K47:K52)/6</f>
        <v>0.89445200084579313</v>
      </c>
      <c r="L53" s="67">
        <f>SUM(L47:L52)/6</f>
        <v>0.89635922834199955</v>
      </c>
      <c r="M53" s="45"/>
      <c r="N53" s="53">
        <f>SUM(N47:N52)/6</f>
        <v>0.86965441258650722</v>
      </c>
      <c r="O53" s="53">
        <f>SUM(O47:O52)/6</f>
        <v>0.87213741711135351</v>
      </c>
      <c r="P53" s="53">
        <f>SUM(P47:P52)/6</f>
        <v>0.87523865108112131</v>
      </c>
      <c r="Q53" s="53">
        <f>SUM(Q47:Q52)/6</f>
        <v>0.87899374959316134</v>
      </c>
      <c r="R53" s="45"/>
      <c r="S53" s="53">
        <f>SUM(S47:S52)/6</f>
        <v>0.8823358265063832</v>
      </c>
      <c r="T53" s="53">
        <f>SUM(T47:T52)/6</f>
        <v>0.88481020861799753</v>
      </c>
      <c r="U53" s="53">
        <f>SUM(U47:U52)/6</f>
        <v>0.88703265222718219</v>
      </c>
      <c r="V53" s="53">
        <f>SUM(V47:V52)/6</f>
        <v>0.88904718656221426</v>
      </c>
      <c r="W53" s="45"/>
    </row>
    <row r="54" spans="1:23">
      <c r="A54" s="45"/>
      <c r="H54" s="45"/>
      <c r="J54" s="45"/>
      <c r="K54" s="45"/>
      <c r="L54" s="45"/>
      <c r="M54" s="45"/>
      <c r="N54" s="45"/>
      <c r="O54" s="45"/>
      <c r="P54" s="45"/>
      <c r="Q54" s="45"/>
      <c r="R54" s="45"/>
      <c r="S54" s="45"/>
      <c r="T54" s="45"/>
      <c r="U54" s="45"/>
      <c r="V54" s="45"/>
      <c r="W54" s="45"/>
    </row>
    <row r="55" spans="1:23">
      <c r="A55" s="45" t="s">
        <v>109</v>
      </c>
      <c r="C55" s="2"/>
      <c r="E55" t="s">
        <v>118</v>
      </c>
      <c r="H55" s="45"/>
      <c r="I55" t="s">
        <v>118</v>
      </c>
      <c r="J55" s="45"/>
      <c r="K55" s="45"/>
      <c r="L55" s="45"/>
      <c r="M55" s="45"/>
      <c r="N55" t="s">
        <v>118</v>
      </c>
      <c r="O55" s="45"/>
      <c r="P55" s="45"/>
      <c r="Q55" s="45"/>
      <c r="R55" s="45"/>
      <c r="S55" s="45"/>
      <c r="T55" s="45"/>
      <c r="U55" s="45"/>
      <c r="V55" s="45"/>
      <c r="W55" s="45"/>
    </row>
    <row r="56" spans="1:23" ht="12.75" customHeight="1">
      <c r="A56" s="45">
        <f>5*12.01+12*1.008</f>
        <v>72.146000000000001</v>
      </c>
      <c r="B56" s="66" t="s">
        <v>110</v>
      </c>
      <c r="C56" s="11"/>
      <c r="D56">
        <f>A56*D20</f>
        <v>1.8000006388820002</v>
      </c>
      <c r="E56">
        <f t="shared" ref="E56:E63" si="30">D56/$D$64</f>
        <v>4.3967574300633881E-2</v>
      </c>
      <c r="G56">
        <f>A56*G20</f>
        <v>1.8122158224339999</v>
      </c>
      <c r="I56">
        <f>G56/$G$64</f>
        <v>3.9551687368229803E-2</v>
      </c>
      <c r="J56" s="45"/>
      <c r="K56" s="45"/>
      <c r="L56" s="45">
        <f>A56*L20</f>
        <v>1.28222668909</v>
      </c>
      <c r="M56" s="45"/>
      <c r="N56">
        <f>L56/$L$64</f>
        <v>3.4357179213750873E-2</v>
      </c>
      <c r="O56" s="45"/>
      <c r="P56" s="45"/>
      <c r="Q56" s="45"/>
      <c r="R56" s="45"/>
      <c r="S56" s="45"/>
      <c r="T56" s="45"/>
      <c r="U56" s="45"/>
      <c r="V56" s="45"/>
      <c r="W56" s="45"/>
    </row>
    <row r="57" spans="1:23" ht="15.75">
      <c r="A57" s="45">
        <f>6*12.01+14*1.008</f>
        <v>86.171999999999997</v>
      </c>
      <c r="B57" s="66" t="s">
        <v>111</v>
      </c>
      <c r="C57" s="11"/>
      <c r="D57">
        <f t="shared" ref="D57:D62" si="31">A57*D21</f>
        <v>1.887080972688</v>
      </c>
      <c r="E57">
        <f t="shared" si="30"/>
        <v>4.6094635238299632E-2</v>
      </c>
      <c r="G57">
        <f t="shared" ref="G57:G62" si="32">A57*G21</f>
        <v>1.919068363776</v>
      </c>
      <c r="I57">
        <f t="shared" ref="I57:I63" si="33">G57/$G$64</f>
        <v>4.1883748625692725E-2</v>
      </c>
      <c r="J57" s="45"/>
      <c r="K57" s="45"/>
      <c r="L57" s="45">
        <f t="shared" ref="L57:L62" si="34">A57*L21</f>
        <v>1.3724411935799998</v>
      </c>
      <c r="M57" s="45"/>
      <c r="N57">
        <f t="shared" ref="N57:N63" si="35">L57/$L$64</f>
        <v>3.6774470886756359E-2</v>
      </c>
      <c r="O57" s="45"/>
      <c r="P57" s="45"/>
      <c r="Q57" s="45"/>
      <c r="R57" s="45"/>
      <c r="S57" s="45"/>
      <c r="T57" s="45"/>
      <c r="U57" s="45"/>
      <c r="V57" s="45"/>
      <c r="W57" s="45"/>
    </row>
    <row r="58" spans="1:23" ht="15.75">
      <c r="A58" s="45">
        <f>7*12.01+16*1.008</f>
        <v>100.19799999999999</v>
      </c>
      <c r="B58" s="66" t="s">
        <v>112</v>
      </c>
      <c r="C58" s="11"/>
      <c r="D58">
        <f t="shared" si="31"/>
        <v>1.9262179749679997</v>
      </c>
      <c r="E58">
        <f t="shared" si="30"/>
        <v>4.705061215212937E-2</v>
      </c>
      <c r="G58">
        <f t="shared" si="32"/>
        <v>1.9785475828439998</v>
      </c>
      <c r="I58">
        <f t="shared" si="33"/>
        <v>4.3181885110520631E-2</v>
      </c>
      <c r="J58" s="45"/>
      <c r="K58" s="45"/>
      <c r="L58" s="45">
        <f t="shared" si="34"/>
        <v>1.4302189375459999</v>
      </c>
      <c r="M58" s="45"/>
      <c r="N58">
        <f t="shared" si="35"/>
        <v>3.8322621709771042E-2</v>
      </c>
      <c r="O58" s="45"/>
      <c r="P58" s="45"/>
      <c r="Q58" s="45"/>
      <c r="R58" s="45"/>
      <c r="S58" s="45"/>
      <c r="T58" s="45"/>
      <c r="U58" s="45"/>
      <c r="V58" s="45"/>
      <c r="W58" s="45"/>
    </row>
    <row r="59" spans="1:23" ht="15.75">
      <c r="A59" s="45">
        <f>8*12.01+18*1.008</f>
        <v>114.22399999999999</v>
      </c>
      <c r="B59" s="66" t="s">
        <v>113</v>
      </c>
      <c r="C59" s="11"/>
      <c r="D59">
        <f t="shared" si="31"/>
        <v>1.9279045404959998</v>
      </c>
      <c r="E59">
        <f t="shared" si="30"/>
        <v>4.7091808912599016E-2</v>
      </c>
      <c r="G59">
        <f t="shared" si="32"/>
        <v>2.0000726343839998</v>
      </c>
      <c r="I59">
        <f t="shared" si="33"/>
        <v>4.3651670275486061E-2</v>
      </c>
      <c r="J59" s="45"/>
      <c r="K59" s="45"/>
      <c r="L59" s="45">
        <f t="shared" si="34"/>
        <v>1.461366207312</v>
      </c>
      <c r="M59" s="45"/>
      <c r="N59">
        <f t="shared" si="35"/>
        <v>3.9157210740302754E-2</v>
      </c>
      <c r="O59" s="45"/>
      <c r="P59" s="45"/>
      <c r="Q59" s="45"/>
      <c r="R59" s="45"/>
      <c r="S59" s="45"/>
      <c r="T59" s="45"/>
      <c r="U59" s="45"/>
      <c r="V59" s="45"/>
      <c r="W59" s="45"/>
    </row>
    <row r="60" spans="1:23" ht="15.75">
      <c r="A60" s="45">
        <f>9*12.01+20*1.008</f>
        <v>128.25</v>
      </c>
      <c r="B60" s="66" t="s">
        <v>114</v>
      </c>
      <c r="C60" s="11"/>
      <c r="D60">
        <f t="shared" si="31"/>
        <v>1.9007672152499999</v>
      </c>
      <c r="E60">
        <f t="shared" si="30"/>
        <v>4.6428941167832513E-2</v>
      </c>
      <c r="G60">
        <f t="shared" si="32"/>
        <v>1.9915253797499999</v>
      </c>
      <c r="I60">
        <f t="shared" si="33"/>
        <v>4.3465126079725441E-2</v>
      </c>
      <c r="L60" s="45">
        <f t="shared" si="34"/>
        <v>1.4708251215000001</v>
      </c>
      <c r="M60" s="45"/>
      <c r="N60">
        <f t="shared" si="35"/>
        <v>3.9410661719517084E-2</v>
      </c>
      <c r="O60" s="45"/>
      <c r="P60" s="45"/>
      <c r="Q60" s="45"/>
      <c r="R60" s="45"/>
      <c r="S60" s="45"/>
      <c r="T60" s="45"/>
      <c r="U60" s="45"/>
      <c r="V60" s="45"/>
      <c r="W60" s="45"/>
    </row>
    <row r="61" spans="1:23" ht="15.75">
      <c r="A61" s="45">
        <f>10*12.01+22*1.008</f>
        <v>142.27600000000001</v>
      </c>
      <c r="B61" s="66" t="s">
        <v>115</v>
      </c>
      <c r="C61" s="11"/>
      <c r="D61">
        <f t="shared" si="31"/>
        <v>1.8518685420040002</v>
      </c>
      <c r="E61">
        <f t="shared" si="30"/>
        <v>4.5234521564469887E-2</v>
      </c>
      <c r="G61">
        <f t="shared" si="32"/>
        <v>1.9594794214320002</v>
      </c>
      <c r="I61">
        <f t="shared" si="33"/>
        <v>4.276572167704977E-2</v>
      </c>
      <c r="L61" s="45">
        <f t="shared" si="34"/>
        <v>1.4627919135680003</v>
      </c>
      <c r="M61" s="45"/>
      <c r="N61">
        <f t="shared" si="35"/>
        <v>3.9195412445009382E-2</v>
      </c>
      <c r="O61" s="45"/>
      <c r="P61" s="45"/>
      <c r="Q61" s="45"/>
      <c r="R61" s="45"/>
      <c r="S61" s="45"/>
      <c r="T61" s="45"/>
      <c r="U61" s="45"/>
      <c r="V61" s="45"/>
      <c r="W61" s="45"/>
    </row>
    <row r="62" spans="1:23" ht="15.75">
      <c r="A62" s="45">
        <f>11*12.01+24*1.008</f>
        <v>156.30199999999999</v>
      </c>
      <c r="B62" s="66" t="s">
        <v>116</v>
      </c>
      <c r="C62" s="11"/>
      <c r="D62">
        <f t="shared" si="31"/>
        <v>1.78696325352</v>
      </c>
      <c r="E62">
        <f t="shared" si="30"/>
        <v>4.364911763055971E-2</v>
      </c>
      <c r="G62">
        <f t="shared" si="32"/>
        <v>1.9093966420459998</v>
      </c>
      <c r="I62">
        <f t="shared" si="33"/>
        <v>4.1672662887756888E-2</v>
      </c>
      <c r="L62" s="45">
        <f t="shared" si="34"/>
        <v>1.4408196264955999</v>
      </c>
      <c r="M62" s="45"/>
      <c r="N62">
        <f t="shared" si="35"/>
        <v>3.8606666468103998E-2</v>
      </c>
      <c r="O62" s="45"/>
      <c r="P62" s="45"/>
      <c r="Q62" s="45"/>
      <c r="R62" s="45"/>
      <c r="S62" s="45"/>
      <c r="T62" s="45"/>
      <c r="U62" s="45"/>
      <c r="V62" s="45"/>
      <c r="W62" s="45"/>
    </row>
    <row r="63" spans="1:23" ht="15.75">
      <c r="A63" s="45">
        <f>16*12.01+34*1.008</f>
        <v>226.43199999999999</v>
      </c>
      <c r="B63" s="20" t="s">
        <v>117</v>
      </c>
      <c r="C63" s="20"/>
      <c r="D63" s="58">
        <f>A63*D29</f>
        <v>27.8584723968</v>
      </c>
      <c r="E63">
        <f t="shared" si="30"/>
        <v>0.68048278903347592</v>
      </c>
      <c r="G63">
        <f>A63*G29</f>
        <v>32.24861979264</v>
      </c>
      <c r="I63">
        <f t="shared" si="33"/>
        <v>0.70382749797553856</v>
      </c>
      <c r="L63" s="58">
        <f>A63*L29</f>
        <v>27.399798151679999</v>
      </c>
      <c r="M63" s="45"/>
      <c r="N63">
        <f t="shared" si="35"/>
        <v>0.73417577681678858</v>
      </c>
      <c r="O63" s="45"/>
      <c r="P63" s="45"/>
      <c r="Q63" s="45"/>
      <c r="R63" s="45"/>
      <c r="S63" s="45"/>
      <c r="T63" s="45"/>
      <c r="U63" s="45"/>
      <c r="V63" s="45"/>
      <c r="W63" s="45"/>
    </row>
    <row r="64" spans="1:23">
      <c r="A64" s="45"/>
      <c r="D64">
        <f>SUM(D56:D63)</f>
        <v>40.939275534608001</v>
      </c>
      <c r="G64">
        <f>SUM(G56:G63)</f>
        <v>45.818925639306002</v>
      </c>
      <c r="L64">
        <f>SUM(L56:L63)</f>
        <v>37.320487840771598</v>
      </c>
      <c r="M64" s="45"/>
      <c r="N64" s="45"/>
      <c r="O64" s="45"/>
      <c r="P64" s="45"/>
      <c r="Q64" s="45"/>
      <c r="R64" s="45"/>
      <c r="S64" s="45"/>
      <c r="T64" s="45"/>
      <c r="U64" s="45"/>
      <c r="V64" s="45"/>
      <c r="W64" s="45"/>
    </row>
    <row r="65" spans="1:23">
      <c r="A65" s="45"/>
      <c r="B65" s="68"/>
      <c r="L65" s="45"/>
      <c r="M65" s="45"/>
      <c r="N65" s="45"/>
      <c r="O65" s="45"/>
      <c r="P65" s="45"/>
      <c r="Q65" s="45"/>
      <c r="R65" s="45"/>
      <c r="S65" s="45"/>
      <c r="T65" s="45"/>
      <c r="U65" s="45"/>
      <c r="V65" s="45"/>
      <c r="W65" s="45"/>
    </row>
    <row r="66" spans="1:23">
      <c r="A66" s="45"/>
      <c r="B66" s="68"/>
      <c r="L66" s="45"/>
      <c r="M66" s="45"/>
      <c r="N66" s="45"/>
      <c r="O66" s="45"/>
      <c r="P66" s="45"/>
      <c r="Q66" s="45"/>
      <c r="R66" s="45"/>
      <c r="S66" s="45"/>
      <c r="T66" s="45"/>
      <c r="U66" s="45"/>
      <c r="V66" s="45"/>
      <c r="W66" s="45"/>
    </row>
    <row r="67" spans="1:23">
      <c r="A67" s="45"/>
      <c r="L67" s="45"/>
      <c r="M67" s="45"/>
      <c r="N67" s="45"/>
      <c r="O67" s="45"/>
      <c r="P67" s="45"/>
      <c r="Q67" s="45"/>
      <c r="R67" s="45"/>
      <c r="S67" s="45"/>
      <c r="T67" s="45"/>
      <c r="U67" s="45"/>
      <c r="V67" s="45"/>
      <c r="W67" s="45"/>
    </row>
    <row r="68" spans="1:23">
      <c r="A68" s="45"/>
      <c r="L68" s="45"/>
      <c r="M68" s="45"/>
      <c r="N68" s="45"/>
      <c r="O68" s="45"/>
      <c r="P68" s="45"/>
      <c r="Q68" s="45"/>
      <c r="R68" s="45"/>
      <c r="S68" s="45"/>
      <c r="T68" s="45"/>
      <c r="U68" s="45"/>
      <c r="V68" s="45"/>
      <c r="W68" s="45"/>
    </row>
    <row r="69" spans="1:23">
      <c r="A69" s="45"/>
      <c r="L69" s="45"/>
      <c r="M69" s="45"/>
      <c r="N69" s="45"/>
      <c r="O69" s="45"/>
      <c r="P69" s="45"/>
      <c r="Q69" s="45"/>
      <c r="R69" s="45"/>
      <c r="S69" s="45"/>
      <c r="T69" s="45"/>
      <c r="U69" s="45"/>
      <c r="V69" s="45"/>
      <c r="W69" s="45"/>
    </row>
    <row r="70" spans="1:23">
      <c r="A70" s="45"/>
      <c r="L70" s="45"/>
      <c r="M70" s="45"/>
      <c r="N70" s="45"/>
      <c r="O70" s="45"/>
      <c r="P70" s="45"/>
      <c r="Q70" s="45"/>
      <c r="R70" s="45"/>
      <c r="S70" s="45"/>
      <c r="T70" s="45"/>
      <c r="U70" s="45"/>
      <c r="V70" s="45"/>
      <c r="W70" s="45"/>
    </row>
    <row r="71" spans="1:23">
      <c r="A71" s="45"/>
      <c r="H71" s="45"/>
      <c r="I71" s="45"/>
      <c r="J71" s="45"/>
      <c r="K71" s="45"/>
      <c r="L71" s="45"/>
      <c r="M71" s="45"/>
      <c r="N71" s="45"/>
      <c r="O71" s="45"/>
      <c r="P71" s="45"/>
      <c r="Q71" s="45"/>
      <c r="R71" s="45"/>
      <c r="S71" s="45"/>
      <c r="T71" s="45"/>
      <c r="U71" s="45"/>
      <c r="V71" s="45"/>
      <c r="W71" s="45"/>
    </row>
    <row r="72" spans="1:23">
      <c r="A72" s="45"/>
      <c r="H72" s="45"/>
      <c r="I72" s="45"/>
      <c r="J72" s="45"/>
      <c r="K72" s="45"/>
      <c r="L72" s="45"/>
      <c r="M72" s="45"/>
      <c r="N72" s="45"/>
      <c r="O72" s="45"/>
      <c r="P72" s="45"/>
      <c r="Q72" s="45"/>
      <c r="R72" s="45"/>
      <c r="S72" s="45"/>
      <c r="T72" s="45"/>
      <c r="U72" s="45"/>
      <c r="V72" s="45"/>
      <c r="W72" s="45"/>
    </row>
    <row r="73" spans="1:23">
      <c r="A73" s="45"/>
      <c r="H73" s="45"/>
      <c r="I73" s="45"/>
      <c r="J73" s="45"/>
      <c r="K73" s="45"/>
      <c r="L73" s="45"/>
      <c r="M73" s="45"/>
      <c r="N73" s="45"/>
      <c r="O73" s="45"/>
      <c r="P73" s="45"/>
      <c r="Q73" s="45"/>
      <c r="R73" s="45"/>
      <c r="S73" s="45"/>
      <c r="T73" s="45"/>
      <c r="U73" s="45"/>
      <c r="V73" s="45"/>
      <c r="W73" s="45"/>
    </row>
    <row r="74" spans="1:23">
      <c r="A74" s="45"/>
      <c r="H74" s="45"/>
      <c r="I74" s="45"/>
      <c r="J74" s="45"/>
      <c r="K74" s="45"/>
      <c r="L74" s="45"/>
      <c r="M74" s="45"/>
      <c r="N74" s="45"/>
      <c r="O74" s="45"/>
      <c r="P74" s="45"/>
      <c r="Q74" s="45"/>
      <c r="R74" s="45"/>
      <c r="S74" s="45"/>
      <c r="T74" s="45"/>
      <c r="U74" s="45"/>
      <c r="V74" s="45"/>
      <c r="W74" s="45"/>
    </row>
    <row r="75" spans="1:23">
      <c r="A75" s="45"/>
      <c r="G75" s="45"/>
      <c r="H75" s="45"/>
      <c r="J75" s="45"/>
      <c r="K75" s="45"/>
      <c r="L75" s="45"/>
      <c r="M75" s="45"/>
      <c r="N75" s="45"/>
      <c r="O75" s="45"/>
      <c r="P75" s="45"/>
      <c r="Q75" s="45"/>
      <c r="R75" s="45"/>
      <c r="S75" s="45"/>
      <c r="T75" s="45"/>
      <c r="U75" s="45"/>
      <c r="V75" s="45"/>
      <c r="W75" s="45"/>
    </row>
    <row r="76" spans="1:23">
      <c r="A76" s="45"/>
      <c r="G76" s="45"/>
      <c r="H76" s="45"/>
      <c r="I76" s="45"/>
      <c r="J76" s="45"/>
      <c r="K76" s="45"/>
      <c r="L76" s="45"/>
      <c r="M76" s="45"/>
      <c r="N76" s="45"/>
      <c r="O76" s="45"/>
      <c r="P76" s="45"/>
      <c r="Q76" s="45"/>
      <c r="R76" s="45"/>
      <c r="S76" s="45"/>
      <c r="T76" s="45"/>
      <c r="U76" s="45"/>
      <c r="V76" s="45"/>
      <c r="W76" s="45"/>
    </row>
    <row r="77" spans="1:23">
      <c r="A77" s="45"/>
      <c r="G77" s="45"/>
      <c r="H77" s="45"/>
      <c r="I77" s="45"/>
      <c r="J77" s="45"/>
      <c r="K77" s="45"/>
      <c r="L77" s="45"/>
      <c r="M77" s="45"/>
      <c r="N77" s="45"/>
      <c r="O77" s="45"/>
      <c r="P77" s="45"/>
      <c r="Q77" s="45"/>
      <c r="R77" s="45"/>
      <c r="S77" s="45"/>
      <c r="T77" s="45"/>
      <c r="U77" s="45"/>
      <c r="V77" s="45"/>
      <c r="W77" s="45"/>
    </row>
    <row r="78" spans="1:23">
      <c r="A78" s="45"/>
      <c r="G78" s="45"/>
      <c r="H78" s="45"/>
      <c r="I78" s="45"/>
      <c r="J78" s="45"/>
      <c r="K78" s="45"/>
      <c r="L78" s="45"/>
      <c r="M78" s="45"/>
      <c r="N78" s="45"/>
      <c r="O78" s="45"/>
      <c r="P78" s="45"/>
      <c r="Q78" s="45"/>
      <c r="R78" s="45"/>
      <c r="S78" s="45"/>
      <c r="T78" s="45"/>
      <c r="U78" s="45"/>
      <c r="V78" s="45"/>
      <c r="W78" s="45"/>
    </row>
    <row r="79" spans="1:23">
      <c r="A79" s="45"/>
      <c r="G79" s="45"/>
      <c r="H79" s="45"/>
      <c r="J79" s="45"/>
      <c r="K79" s="45"/>
      <c r="L79" s="45"/>
      <c r="M79" s="45"/>
      <c r="N79" s="45"/>
      <c r="O79" s="45"/>
      <c r="P79" s="45"/>
      <c r="Q79" s="45"/>
      <c r="R79" s="45"/>
      <c r="S79" s="45"/>
      <c r="T79" s="45"/>
      <c r="U79" s="45"/>
      <c r="V79" s="45"/>
      <c r="W79" s="45"/>
    </row>
    <row r="80" spans="1:23">
      <c r="A80" s="45"/>
      <c r="G80" s="45"/>
      <c r="K80" s="45"/>
      <c r="L80" s="45"/>
      <c r="M80" s="45"/>
      <c r="N80" s="45"/>
      <c r="O80" s="45"/>
      <c r="P80" s="45"/>
      <c r="Q80" s="45"/>
      <c r="R80" s="45"/>
      <c r="S80" s="45"/>
      <c r="T80" s="45"/>
      <c r="U80" s="45"/>
      <c r="V80" s="45"/>
      <c r="W80" s="45"/>
    </row>
    <row r="81" spans="1:23">
      <c r="A81" s="45"/>
      <c r="G81" s="45"/>
      <c r="K81" s="45"/>
      <c r="L81" s="45"/>
      <c r="M81" s="45"/>
      <c r="N81" s="45"/>
      <c r="O81" s="45"/>
      <c r="P81" s="45"/>
      <c r="Q81" s="45"/>
      <c r="R81" s="45"/>
      <c r="S81" s="45"/>
      <c r="T81" s="45"/>
      <c r="U81" s="45"/>
      <c r="V81" s="45"/>
      <c r="W81" s="45"/>
    </row>
    <row r="82" spans="1:23">
      <c r="A82" s="45"/>
      <c r="B82" s="45"/>
      <c r="C82" s="45"/>
      <c r="D82" s="45"/>
      <c r="E82" s="45"/>
      <c r="F82" s="45"/>
      <c r="G82" s="45"/>
      <c r="K82" s="45"/>
      <c r="L82" s="45"/>
      <c r="M82" s="45"/>
      <c r="N82" s="45"/>
      <c r="O82" s="45"/>
      <c r="P82" s="45"/>
      <c r="Q82" s="45"/>
      <c r="R82" s="45"/>
      <c r="S82" s="45"/>
      <c r="T82" s="45"/>
      <c r="U82" s="45"/>
      <c r="V82" s="45"/>
      <c r="W82" s="45"/>
    </row>
    <row r="83" spans="1:23">
      <c r="A83" s="45"/>
      <c r="K83" s="45"/>
      <c r="L83" s="45"/>
      <c r="M83" s="45"/>
      <c r="N83" s="45"/>
      <c r="O83" s="45"/>
      <c r="P83" s="45"/>
      <c r="Q83" s="45"/>
      <c r="R83" s="45"/>
      <c r="S83" s="45"/>
      <c r="T83" s="45"/>
      <c r="U83" s="45"/>
      <c r="V83" s="45"/>
      <c r="W83" s="45"/>
    </row>
    <row r="84" spans="1:23">
      <c r="A84" s="45"/>
      <c r="K84" s="45"/>
      <c r="L84" s="45"/>
      <c r="M84" s="45"/>
      <c r="N84" s="45"/>
      <c r="O84" s="45"/>
      <c r="P84" s="45"/>
      <c r="Q84" s="45"/>
      <c r="R84" s="45"/>
      <c r="S84" s="45"/>
      <c r="T84" s="45"/>
      <c r="U84" s="45"/>
      <c r="V84" s="45"/>
      <c r="W84" s="45"/>
    </row>
    <row r="85" spans="1:23">
      <c r="K85" s="45"/>
    </row>
    <row r="86" spans="1:23">
      <c r="K86" s="45"/>
    </row>
    <row r="87" spans="1:23">
      <c r="K87" s="45"/>
    </row>
    <row r="88" spans="1:23">
      <c r="K88" s="45"/>
    </row>
    <row r="89" spans="1:23">
      <c r="K89" s="45"/>
    </row>
    <row r="90" spans="1:23">
      <c r="K90" s="45"/>
    </row>
    <row r="91" spans="1:23">
      <c r="K91" s="45"/>
    </row>
    <row r="92" spans="1:23">
      <c r="K92" s="45"/>
    </row>
    <row r="93" spans="1:23">
      <c r="K93" s="45"/>
    </row>
    <row r="94" spans="1:23">
      <c r="K94" s="45"/>
    </row>
    <row r="95" spans="1:23">
      <c r="K95" s="45"/>
    </row>
    <row r="96" spans="1:23">
      <c r="H96" s="45"/>
      <c r="I96" s="45"/>
      <c r="J96" s="45"/>
    </row>
    <row r="97" spans="1:15">
      <c r="H97" s="45"/>
      <c r="I97" s="45"/>
      <c r="J97" s="45"/>
    </row>
    <row r="98" spans="1:15">
      <c r="A98" s="1"/>
      <c r="B98" s="76" t="s">
        <v>84</v>
      </c>
      <c r="C98" s="76"/>
      <c r="D98" s="76"/>
      <c r="E98" s="76"/>
      <c r="F98" s="76"/>
      <c r="H98" s="45"/>
      <c r="K98" s="1"/>
      <c r="L98" s="1" t="s">
        <v>90</v>
      </c>
      <c r="M98" s="45"/>
      <c r="N98" s="45"/>
      <c r="O98" s="45"/>
    </row>
    <row r="99" spans="1:15">
      <c r="A99" s="45"/>
      <c r="B99" s="46"/>
      <c r="C99" s="45"/>
      <c r="D99" s="45"/>
      <c r="E99" s="45"/>
      <c r="F99" s="45"/>
      <c r="H99" s="45"/>
      <c r="K99" s="45"/>
      <c r="L99" s="45"/>
      <c r="M99" s="45"/>
      <c r="N99" s="45"/>
      <c r="O99" s="45"/>
    </row>
    <row r="100" spans="1:15">
      <c r="A100" s="45"/>
      <c r="B100" s="45">
        <v>1.0129999999999999</v>
      </c>
      <c r="C100" s="45">
        <v>2.0259999999999998</v>
      </c>
      <c r="D100" s="45">
        <v>3.0390000000000001</v>
      </c>
      <c r="E100" s="45">
        <v>4.0529999999999999</v>
      </c>
      <c r="F100" s="45"/>
      <c r="H100" s="45"/>
      <c r="K100" s="45" t="s">
        <v>91</v>
      </c>
      <c r="L100" s="45">
        <v>1.0129999999999999</v>
      </c>
      <c r="M100" s="45">
        <v>2.0259999999999998</v>
      </c>
      <c r="N100" s="45">
        <v>3.0390000000000001</v>
      </c>
      <c r="O100" s="45">
        <v>4.0529999999999999</v>
      </c>
    </row>
    <row r="101" spans="1:15">
      <c r="A101" s="1" t="s">
        <v>85</v>
      </c>
      <c r="B101" s="47">
        <f>D27</f>
        <v>0.12222040199999999</v>
      </c>
      <c r="C101" s="47">
        <f>E27</f>
        <v>0.126435193</v>
      </c>
      <c r="D101" s="47">
        <f>F27</f>
        <v>0.12812581200000001</v>
      </c>
      <c r="E101" s="47">
        <f>G27</f>
        <v>0.12616232399999999</v>
      </c>
      <c r="F101" s="45"/>
      <c r="H101" s="45"/>
      <c r="K101" s="1" t="s">
        <v>85</v>
      </c>
      <c r="L101" s="55">
        <f>D40</f>
        <v>0.21961055424000001</v>
      </c>
      <c r="M101" s="55">
        <f>E40</f>
        <v>0.24644905974000003</v>
      </c>
      <c r="N101" s="55">
        <f>F40</f>
        <v>0.26940835823999998</v>
      </c>
      <c r="O101" s="55">
        <f>G40</f>
        <v>0.28481311709999996</v>
      </c>
    </row>
    <row r="102" spans="1:15">
      <c r="A102" s="1" t="s">
        <v>86</v>
      </c>
      <c r="B102" s="48">
        <f>I27</f>
        <v>0.11743813399999999</v>
      </c>
      <c r="C102" s="48">
        <f>J27</f>
        <v>0.10762303100000001</v>
      </c>
      <c r="D102" s="48">
        <f>K27</f>
        <v>9.9134687900000018E-2</v>
      </c>
      <c r="E102" s="48">
        <f>L27</f>
        <v>9.1735187800000006E-2</v>
      </c>
      <c r="F102" s="45"/>
      <c r="H102" s="45"/>
      <c r="K102" s="1" t="s">
        <v>86</v>
      </c>
      <c r="L102" s="56">
        <f>I40</f>
        <v>0.28331639871999997</v>
      </c>
      <c r="M102" s="56">
        <f>J40</f>
        <v>0.27623816493999998</v>
      </c>
      <c r="N102" s="56">
        <f>K40</f>
        <v>0.26974477256399998</v>
      </c>
      <c r="O102" s="56">
        <f>L40</f>
        <v>0.26376626188400004</v>
      </c>
    </row>
    <row r="103" spans="1:15">
      <c r="A103" s="1" t="s">
        <v>88</v>
      </c>
      <c r="B103" s="48">
        <f>N27</f>
        <v>0.13231963099999999</v>
      </c>
      <c r="C103" s="48">
        <f>O27</f>
        <v>0.136986093</v>
      </c>
      <c r="D103" s="48">
        <f>P27</f>
        <v>0.13870779599999999</v>
      </c>
      <c r="E103" s="48">
        <f>Q27</f>
        <v>0.13632218100000001</v>
      </c>
      <c r="F103" s="45"/>
      <c r="G103" s="45"/>
      <c r="H103" s="45"/>
      <c r="I103" s="45"/>
      <c r="J103" s="45"/>
      <c r="K103" s="1" t="s">
        <v>88</v>
      </c>
      <c r="L103" s="56">
        <f>N40</f>
        <v>0.23659087031999995</v>
      </c>
      <c r="M103" s="56">
        <f>O40</f>
        <v>0.26573413464000001</v>
      </c>
      <c r="N103" s="56">
        <f>P40</f>
        <v>0.29030002904000002</v>
      </c>
      <c r="O103" s="56">
        <f>Q40</f>
        <v>0.30635781360000003</v>
      </c>
    </row>
    <row r="104" spans="1:15">
      <c r="A104" s="1" t="s">
        <v>89</v>
      </c>
      <c r="B104" s="48">
        <f>S27</f>
        <v>0.126927336</v>
      </c>
      <c r="C104" s="48">
        <f>T27</f>
        <v>0.116525328</v>
      </c>
      <c r="D104" s="48">
        <f>U27</f>
        <v>0.107496019</v>
      </c>
      <c r="E104" s="48">
        <f>V27</f>
        <v>9.9602390600000007E-2</v>
      </c>
      <c r="F104" s="45"/>
      <c r="G104" s="45"/>
      <c r="H104" s="45"/>
      <c r="I104" s="45"/>
      <c r="J104" s="45"/>
      <c r="K104" s="1" t="s">
        <v>89</v>
      </c>
      <c r="L104" s="56">
        <f>S40</f>
        <v>0.30485301088</v>
      </c>
      <c r="M104" s="56">
        <f>T40</f>
        <v>0.29778884359999996</v>
      </c>
      <c r="N104" s="56">
        <f>U40</f>
        <v>0.29124800567999998</v>
      </c>
      <c r="O104" s="56">
        <f>V40</f>
        <v>0.28518515446800002</v>
      </c>
    </row>
    <row r="110" spans="1:15" ht="14.25">
      <c r="B110" s="1" t="s">
        <v>87</v>
      </c>
      <c r="H110" s="45"/>
      <c r="I110" s="45"/>
      <c r="J110" s="45"/>
    </row>
    <row r="111" spans="1:15">
      <c r="H111" s="45"/>
      <c r="I111" s="45"/>
      <c r="J111" s="45"/>
    </row>
    <row r="112" spans="1:15">
      <c r="H112" s="45"/>
      <c r="I112" s="45"/>
      <c r="J112" s="45"/>
    </row>
    <row r="113" spans="7:10" ht="15.75">
      <c r="H113" s="45"/>
      <c r="I113" s="43" t="s">
        <v>80</v>
      </c>
      <c r="J113" s="45"/>
    </row>
    <row r="114" spans="7:10">
      <c r="H114" s="45"/>
      <c r="I114" s="43"/>
    </row>
    <row r="115" spans="7:10">
      <c r="H115" s="45"/>
      <c r="I115" s="45"/>
      <c r="J115" s="45"/>
    </row>
    <row r="116" spans="7:10">
      <c r="G116" s="45"/>
      <c r="H116" s="45"/>
      <c r="I116" s="45"/>
      <c r="J116" s="45"/>
    </row>
    <row r="117" spans="7:10">
      <c r="G117" s="45"/>
    </row>
    <row r="118" spans="7:10">
      <c r="G118" s="45"/>
    </row>
    <row r="119" spans="7:10">
      <c r="G119" s="45"/>
    </row>
    <row r="120" spans="7:10">
      <c r="G120" s="45"/>
    </row>
    <row r="121" spans="7:10">
      <c r="G121" s="45"/>
    </row>
    <row r="122" spans="7:10">
      <c r="G122" s="45"/>
    </row>
    <row r="129" spans="2:15">
      <c r="B129" s="1"/>
      <c r="C129" s="1" t="s">
        <v>92</v>
      </c>
      <c r="D129" s="45"/>
      <c r="E129" s="45"/>
      <c r="F129" s="45"/>
      <c r="G129" s="45"/>
      <c r="K129" s="1"/>
      <c r="L129" s="1" t="s">
        <v>95</v>
      </c>
      <c r="M129" s="45"/>
      <c r="N129" s="45"/>
      <c r="O129" s="45"/>
    </row>
    <row r="130" spans="2:15">
      <c r="B130" s="45"/>
      <c r="C130" s="45"/>
      <c r="D130" s="45"/>
      <c r="E130" s="45"/>
      <c r="F130" s="45"/>
      <c r="G130" s="45"/>
      <c r="K130" s="45"/>
      <c r="L130" s="45"/>
      <c r="M130" s="45"/>
      <c r="N130" s="45"/>
      <c r="O130" s="45"/>
    </row>
    <row r="131" spans="2:15">
      <c r="B131" s="45" t="s">
        <v>93</v>
      </c>
      <c r="C131" s="45">
        <v>1.0129999999999999</v>
      </c>
      <c r="D131" s="45">
        <v>2.0259999999999998</v>
      </c>
      <c r="E131" s="45">
        <v>3.0390000000000001</v>
      </c>
      <c r="F131" s="45">
        <v>4.0529999999999999</v>
      </c>
      <c r="G131" s="45"/>
      <c r="K131" s="45" t="s">
        <v>93</v>
      </c>
      <c r="L131" s="45">
        <v>1.0129999999999999</v>
      </c>
      <c r="M131" s="45">
        <v>2.0259999999999998</v>
      </c>
      <c r="N131" s="45">
        <v>3.0390000000000001</v>
      </c>
      <c r="O131" s="45">
        <v>4.0529999999999999</v>
      </c>
    </row>
    <row r="132" spans="2:15">
      <c r="B132" s="1" t="s">
        <v>85</v>
      </c>
      <c r="C132" s="47">
        <f>D36</f>
        <v>1.0066437189430943</v>
      </c>
      <c r="D132" s="47">
        <f>E36</f>
        <v>1.0354912022003242</v>
      </c>
      <c r="E132" s="47">
        <f>F36</f>
        <v>1.07419619709415</v>
      </c>
      <c r="F132" s="47">
        <f>G36</f>
        <v>1.1288692652808141</v>
      </c>
      <c r="G132" s="45"/>
      <c r="K132" s="1" t="s">
        <v>85</v>
      </c>
      <c r="L132" s="57">
        <f>D34</f>
        <v>0.70902551200000008</v>
      </c>
      <c r="M132" s="57">
        <f>E34</f>
        <v>0.80572312499999998</v>
      </c>
      <c r="N132" s="57">
        <f>F34</f>
        <v>0.89629856159999999</v>
      </c>
      <c r="O132" s="57">
        <f>G34</f>
        <v>0.97266257410000001</v>
      </c>
    </row>
    <row r="133" spans="2:15">
      <c r="B133" s="1" t="s">
        <v>86</v>
      </c>
      <c r="C133" s="48">
        <f>I36</f>
        <v>1.190072723737249</v>
      </c>
      <c r="D133" s="48">
        <f>J36</f>
        <v>1.2348095827184054</v>
      </c>
      <c r="E133" s="48">
        <f>K36</f>
        <v>1.2777547666037488</v>
      </c>
      <c r="F133" s="48">
        <f>L36</f>
        <v>1.3190875050456918</v>
      </c>
      <c r="G133" s="45"/>
      <c r="K133" s="1" t="s">
        <v>86</v>
      </c>
      <c r="L133" s="56">
        <f>I34</f>
        <v>0.99999999360559255</v>
      </c>
      <c r="M133" s="56">
        <f>J34</f>
        <v>0.99999999311208376</v>
      </c>
      <c r="N133" s="56">
        <f>K34</f>
        <v>0.99999999391029626</v>
      </c>
      <c r="O133" s="56">
        <f>L34</f>
        <v>0.9999999948119751</v>
      </c>
    </row>
    <row r="134" spans="2:15">
      <c r="B134" s="1" t="s">
        <v>88</v>
      </c>
      <c r="C134" s="48">
        <f>N36</f>
        <v>0.90668504055909893</v>
      </c>
      <c r="D134" s="48">
        <f>O36</f>
        <v>0.93198533664289551</v>
      </c>
      <c r="E134" s="48">
        <f>P36</f>
        <v>0.96616415129254896</v>
      </c>
      <c r="F134" s="48">
        <f>Q36</f>
        <v>1.0140486235325121</v>
      </c>
      <c r="G134" s="45"/>
      <c r="K134" s="1" t="s">
        <v>88</v>
      </c>
      <c r="L134" s="56">
        <f>N34</f>
        <v>0.72633196000000011</v>
      </c>
      <c r="M134" s="56">
        <f>O34</f>
        <v>0.82173593480000007</v>
      </c>
      <c r="N134" s="56">
        <f>P34</f>
        <v>0.90805440920000002</v>
      </c>
      <c r="O134" s="56">
        <f>Q34</f>
        <v>0.97699311700000002</v>
      </c>
    </row>
    <row r="135" spans="2:15">
      <c r="B135" s="1" t="s">
        <v>89</v>
      </c>
      <c r="C135" s="48">
        <f>S36</f>
        <v>1.0665719006345489</v>
      </c>
      <c r="D135" s="48">
        <f>T36</f>
        <v>1.1054314303238864</v>
      </c>
      <c r="E135" s="48">
        <f>U36</f>
        <v>1.1428132980440886</v>
      </c>
      <c r="F135" s="48">
        <f>V36</f>
        <v>1.1788552392436251</v>
      </c>
      <c r="G135" s="45"/>
      <c r="K135" s="1" t="s">
        <v>89</v>
      </c>
      <c r="L135" s="56">
        <f>S34</f>
        <v>0.99999998071587304</v>
      </c>
      <c r="M135" s="56">
        <f>T34</f>
        <v>0.99999997965577836</v>
      </c>
      <c r="N135" s="56">
        <f>U34</f>
        <v>0.99999998228264853</v>
      </c>
      <c r="O135" s="56">
        <f>V34</f>
        <v>0.99999998510475618</v>
      </c>
    </row>
    <row r="137" spans="2:15">
      <c r="D137" s="45"/>
      <c r="E137" s="45"/>
    </row>
    <row r="138" spans="2:15">
      <c r="E138" s="45"/>
    </row>
    <row r="139" spans="2:15">
      <c r="E139" s="45"/>
    </row>
    <row r="140" spans="2:15">
      <c r="D140" s="45"/>
      <c r="E140" s="45"/>
    </row>
    <row r="141" spans="2:15">
      <c r="D141" s="45"/>
      <c r="E141" s="45"/>
    </row>
    <row r="146" spans="2:10" ht="15.75">
      <c r="B146" s="45" t="s">
        <v>76</v>
      </c>
      <c r="J146" s="43" t="s">
        <v>96</v>
      </c>
    </row>
    <row r="147" spans="2:10">
      <c r="B147" s="45" t="s">
        <v>94</v>
      </c>
    </row>
  </sheetData>
  <mergeCells count="1">
    <mergeCell ref="B98:F98"/>
  </mergeCells>
  <pageMargins left="0.78749999999999998" right="0.78749999999999998" top="1.0249999999999999" bottom="1.0249999999999999" header="0.78749999999999998" footer="0.78749999999999998"/>
  <pageSetup paperSize="9" orientation="portrait" horizontalDpi="300" verticalDpi="300"/>
  <headerFooter>
    <oddHeader>&amp;C&amp;A</oddHeader>
    <oddFooter>&amp;CPágina &amp;P</oddFooter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DCF3D8-9F14-4ABF-85F3-5306EF9685FB}">
  <dimension ref="A1:BE53"/>
  <sheetViews>
    <sheetView topLeftCell="J1" zoomScale="74" zoomScaleNormal="74" workbookViewId="0">
      <selection activeCell="AE3" sqref="AE3"/>
    </sheetView>
  </sheetViews>
  <sheetFormatPr defaultRowHeight="12.75"/>
  <cols>
    <col min="2" max="2" width="16.140625" customWidth="1"/>
    <col min="4" max="56" width="12.42578125" customWidth="1"/>
  </cols>
  <sheetData>
    <row r="1" spans="1:56">
      <c r="I1" t="s">
        <v>97</v>
      </c>
      <c r="AC1">
        <f>40*101325</f>
        <v>4053000</v>
      </c>
    </row>
    <row r="2" spans="1:56">
      <c r="A2" s="19"/>
      <c r="B2" s="20" t="s">
        <v>39</v>
      </c>
      <c r="C2" s="20"/>
      <c r="D2" s="8" t="s">
        <v>43</v>
      </c>
      <c r="E2" s="8" t="s">
        <v>43</v>
      </c>
      <c r="F2" s="8" t="s">
        <v>43</v>
      </c>
      <c r="G2" s="8" t="s">
        <v>43</v>
      </c>
      <c r="H2" s="8" t="s">
        <v>43</v>
      </c>
      <c r="I2" s="8" t="s">
        <v>43</v>
      </c>
      <c r="J2" s="8" t="s">
        <v>43</v>
      </c>
      <c r="K2" s="8" t="s">
        <v>43</v>
      </c>
      <c r="L2" s="8" t="s">
        <v>43</v>
      </c>
      <c r="M2" s="8" t="s">
        <v>43</v>
      </c>
      <c r="N2" s="8" t="s">
        <v>43</v>
      </c>
      <c r="O2" s="8" t="s">
        <v>43</v>
      </c>
      <c r="P2" s="8" t="s">
        <v>43</v>
      </c>
      <c r="Q2" s="8" t="s">
        <v>43</v>
      </c>
      <c r="R2" s="8" t="s">
        <v>43</v>
      </c>
      <c r="S2" s="8" t="s">
        <v>43</v>
      </c>
      <c r="T2" s="8" t="s">
        <v>43</v>
      </c>
      <c r="U2" s="8" t="s">
        <v>43</v>
      </c>
      <c r="V2" s="8" t="s">
        <v>43</v>
      </c>
      <c r="W2" s="8" t="s">
        <v>43</v>
      </c>
      <c r="X2" s="8" t="s">
        <v>43</v>
      </c>
      <c r="Y2" s="8" t="s">
        <v>43</v>
      </c>
      <c r="Z2" s="8" t="s">
        <v>43</v>
      </c>
      <c r="AA2" s="8" t="s">
        <v>43</v>
      </c>
      <c r="AB2" s="8" t="s">
        <v>43</v>
      </c>
      <c r="AC2" s="8" t="s">
        <v>43</v>
      </c>
      <c r="AE2" s="8" t="s">
        <v>43</v>
      </c>
      <c r="AF2" s="8" t="s">
        <v>43</v>
      </c>
      <c r="AG2" s="8" t="s">
        <v>43</v>
      </c>
      <c r="AH2" s="8" t="s">
        <v>43</v>
      </c>
      <c r="AI2" s="8" t="s">
        <v>43</v>
      </c>
      <c r="AJ2" s="8" t="s">
        <v>43</v>
      </c>
      <c r="AK2" s="8" t="s">
        <v>43</v>
      </c>
      <c r="AL2" s="8" t="s">
        <v>43</v>
      </c>
      <c r="AM2" s="8" t="s">
        <v>43</v>
      </c>
      <c r="AN2" s="8" t="s">
        <v>43</v>
      </c>
      <c r="AO2" s="8" t="s">
        <v>43</v>
      </c>
      <c r="AP2" s="8" t="s">
        <v>43</v>
      </c>
      <c r="AQ2" s="8" t="s">
        <v>43</v>
      </c>
      <c r="AR2" s="8" t="s">
        <v>43</v>
      </c>
      <c r="AS2" s="8" t="s">
        <v>43</v>
      </c>
      <c r="AT2" s="8" t="s">
        <v>43</v>
      </c>
      <c r="AU2" s="8" t="s">
        <v>43</v>
      </c>
      <c r="AV2" s="8" t="s">
        <v>43</v>
      </c>
      <c r="AW2" s="8" t="s">
        <v>43</v>
      </c>
      <c r="AX2" s="8" t="s">
        <v>43</v>
      </c>
      <c r="AY2" s="8" t="s">
        <v>43</v>
      </c>
      <c r="AZ2" s="8" t="s">
        <v>43</v>
      </c>
      <c r="BA2" s="8" t="s">
        <v>43</v>
      </c>
      <c r="BB2" s="8" t="s">
        <v>43</v>
      </c>
      <c r="BC2" s="8" t="s">
        <v>43</v>
      </c>
      <c r="BD2" s="8" t="s">
        <v>43</v>
      </c>
    </row>
    <row r="3" spans="1:56">
      <c r="A3" s="21" t="s">
        <v>44</v>
      </c>
      <c r="B3" s="20" t="s">
        <v>45</v>
      </c>
      <c r="C3" s="20"/>
      <c r="D3">
        <v>3039750</v>
      </c>
      <c r="E3">
        <f t="shared" ref="E3:T3" si="0">30*101325</f>
        <v>3039750</v>
      </c>
      <c r="F3">
        <f t="shared" si="0"/>
        <v>3039750</v>
      </c>
      <c r="G3">
        <f t="shared" si="0"/>
        <v>3039750</v>
      </c>
      <c r="H3">
        <f t="shared" si="0"/>
        <v>3039750</v>
      </c>
      <c r="I3">
        <f t="shared" si="0"/>
        <v>3039750</v>
      </c>
      <c r="J3">
        <f t="shared" si="0"/>
        <v>3039750</v>
      </c>
      <c r="K3">
        <f t="shared" si="0"/>
        <v>3039750</v>
      </c>
      <c r="L3">
        <f t="shared" si="0"/>
        <v>3039750</v>
      </c>
      <c r="M3">
        <f t="shared" si="0"/>
        <v>3039750</v>
      </c>
      <c r="N3">
        <f t="shared" si="0"/>
        <v>3039750</v>
      </c>
      <c r="O3">
        <f t="shared" si="0"/>
        <v>3039750</v>
      </c>
      <c r="P3">
        <f t="shared" si="0"/>
        <v>3039750</v>
      </c>
      <c r="Q3">
        <f t="shared" si="0"/>
        <v>3039750</v>
      </c>
      <c r="R3">
        <f t="shared" si="0"/>
        <v>3039750</v>
      </c>
      <c r="S3">
        <f t="shared" si="0"/>
        <v>3039750</v>
      </c>
      <c r="T3">
        <f t="shared" si="0"/>
        <v>3039750</v>
      </c>
      <c r="U3">
        <f>30*101325</f>
        <v>3039750</v>
      </c>
      <c r="V3">
        <f t="shared" ref="V3:AC3" si="1">30*101325</f>
        <v>3039750</v>
      </c>
      <c r="W3">
        <f t="shared" si="1"/>
        <v>3039750</v>
      </c>
      <c r="X3">
        <f t="shared" si="1"/>
        <v>3039750</v>
      </c>
      <c r="Y3">
        <f t="shared" si="1"/>
        <v>3039750</v>
      </c>
      <c r="Z3">
        <f t="shared" si="1"/>
        <v>3039750</v>
      </c>
      <c r="AA3">
        <f t="shared" si="1"/>
        <v>3039750</v>
      </c>
      <c r="AB3">
        <f t="shared" si="1"/>
        <v>3039750</v>
      </c>
      <c r="AC3">
        <f t="shared" si="1"/>
        <v>3039750</v>
      </c>
      <c r="AE3">
        <f>40*101325</f>
        <v>4053000</v>
      </c>
      <c r="AF3">
        <f t="shared" ref="AF3:BD3" si="2">40*101325</f>
        <v>4053000</v>
      </c>
      <c r="AG3">
        <f t="shared" si="2"/>
        <v>4053000</v>
      </c>
      <c r="AH3">
        <f t="shared" si="2"/>
        <v>4053000</v>
      </c>
      <c r="AI3">
        <f t="shared" si="2"/>
        <v>4053000</v>
      </c>
      <c r="AJ3">
        <f t="shared" si="2"/>
        <v>4053000</v>
      </c>
      <c r="AK3">
        <f t="shared" si="2"/>
        <v>4053000</v>
      </c>
      <c r="AL3">
        <f t="shared" si="2"/>
        <v>4053000</v>
      </c>
      <c r="AM3">
        <f t="shared" si="2"/>
        <v>4053000</v>
      </c>
      <c r="AN3">
        <f t="shared" si="2"/>
        <v>4053000</v>
      </c>
      <c r="AO3">
        <f t="shared" si="2"/>
        <v>4053000</v>
      </c>
      <c r="AP3">
        <f t="shared" si="2"/>
        <v>4053000</v>
      </c>
      <c r="AQ3">
        <f t="shared" si="2"/>
        <v>4053000</v>
      </c>
      <c r="AR3">
        <f t="shared" si="2"/>
        <v>4053000</v>
      </c>
      <c r="AS3">
        <f t="shared" si="2"/>
        <v>4053000</v>
      </c>
      <c r="AT3">
        <f t="shared" si="2"/>
        <v>4053000</v>
      </c>
      <c r="AU3">
        <f t="shared" si="2"/>
        <v>4053000</v>
      </c>
      <c r="AV3">
        <f t="shared" si="2"/>
        <v>4053000</v>
      </c>
      <c r="AW3">
        <f t="shared" si="2"/>
        <v>4053000</v>
      </c>
      <c r="AX3">
        <f t="shared" si="2"/>
        <v>4053000</v>
      </c>
      <c r="AY3">
        <f t="shared" si="2"/>
        <v>4053000</v>
      </c>
      <c r="AZ3">
        <f t="shared" si="2"/>
        <v>4053000</v>
      </c>
      <c r="BA3">
        <f t="shared" si="2"/>
        <v>4053000</v>
      </c>
      <c r="BB3">
        <f t="shared" si="2"/>
        <v>4053000</v>
      </c>
      <c r="BC3">
        <f t="shared" si="2"/>
        <v>4053000</v>
      </c>
      <c r="BD3">
        <f t="shared" si="2"/>
        <v>4053000</v>
      </c>
    </row>
    <row r="4" spans="1:56">
      <c r="A4" s="21" t="s">
        <v>46</v>
      </c>
      <c r="B4" s="20" t="s">
        <v>47</v>
      </c>
      <c r="C4" s="20"/>
      <c r="D4">
        <v>10</v>
      </c>
      <c r="E4">
        <v>10</v>
      </c>
      <c r="F4">
        <v>10</v>
      </c>
      <c r="G4">
        <v>10</v>
      </c>
      <c r="H4">
        <v>10</v>
      </c>
      <c r="I4">
        <v>10</v>
      </c>
      <c r="J4">
        <v>10</v>
      </c>
      <c r="K4">
        <v>10</v>
      </c>
      <c r="L4">
        <v>10</v>
      </c>
      <c r="M4">
        <v>10</v>
      </c>
      <c r="N4">
        <v>10</v>
      </c>
      <c r="O4">
        <v>10</v>
      </c>
      <c r="P4">
        <v>10</v>
      </c>
      <c r="Q4">
        <v>10</v>
      </c>
      <c r="R4">
        <v>10</v>
      </c>
      <c r="S4">
        <v>10</v>
      </c>
      <c r="T4">
        <v>10</v>
      </c>
      <c r="U4">
        <v>10</v>
      </c>
      <c r="V4">
        <v>10</v>
      </c>
      <c r="W4">
        <v>10</v>
      </c>
      <c r="X4">
        <v>10</v>
      </c>
      <c r="Y4">
        <v>10</v>
      </c>
      <c r="Z4">
        <v>10</v>
      </c>
      <c r="AA4">
        <v>10</v>
      </c>
      <c r="AB4">
        <v>10</v>
      </c>
      <c r="AC4">
        <v>10</v>
      </c>
      <c r="AE4">
        <v>10</v>
      </c>
      <c r="AF4">
        <v>10</v>
      </c>
      <c r="AG4">
        <v>10</v>
      </c>
      <c r="AH4">
        <v>10</v>
      </c>
      <c r="AI4">
        <v>10</v>
      </c>
      <c r="AJ4">
        <v>10</v>
      </c>
      <c r="AK4">
        <v>10</v>
      </c>
      <c r="AL4">
        <v>10</v>
      </c>
      <c r="AM4">
        <v>10</v>
      </c>
      <c r="AN4">
        <v>10</v>
      </c>
      <c r="AO4">
        <v>10</v>
      </c>
      <c r="AP4">
        <v>10</v>
      </c>
      <c r="AQ4">
        <v>10</v>
      </c>
      <c r="AR4">
        <v>10</v>
      </c>
      <c r="AS4">
        <v>10</v>
      </c>
      <c r="AT4">
        <v>10</v>
      </c>
      <c r="AU4">
        <v>10</v>
      </c>
      <c r="AV4">
        <v>10</v>
      </c>
      <c r="AW4">
        <v>10</v>
      </c>
      <c r="AX4">
        <v>10</v>
      </c>
      <c r="AY4">
        <v>10</v>
      </c>
      <c r="AZ4">
        <v>10</v>
      </c>
      <c r="BA4">
        <v>10</v>
      </c>
      <c r="BB4">
        <v>10</v>
      </c>
      <c r="BC4">
        <v>10</v>
      </c>
      <c r="BD4">
        <v>10</v>
      </c>
    </row>
    <row r="5" spans="1:56">
      <c r="A5" s="21" t="s">
        <v>46</v>
      </c>
    </row>
    <row r="6" spans="1:56">
      <c r="A6" s="21" t="s">
        <v>48</v>
      </c>
      <c r="B6" s="22" t="s">
        <v>49</v>
      </c>
      <c r="C6" s="22"/>
    </row>
    <row r="7" spans="1:56" ht="15.75">
      <c r="A7" s="21"/>
      <c r="B7" s="20" t="s">
        <v>50</v>
      </c>
      <c r="C7" s="20"/>
      <c r="D7">
        <v>1.4</v>
      </c>
      <c r="E7">
        <v>1.45</v>
      </c>
      <c r="F7">
        <v>1.5</v>
      </c>
      <c r="G7">
        <v>1.55</v>
      </c>
      <c r="H7">
        <v>1.6</v>
      </c>
      <c r="I7">
        <v>1.65</v>
      </c>
      <c r="J7">
        <v>1.7</v>
      </c>
      <c r="K7">
        <v>1.75</v>
      </c>
      <c r="L7">
        <v>1.8</v>
      </c>
      <c r="M7">
        <v>1.85</v>
      </c>
      <c r="N7">
        <v>1.9</v>
      </c>
      <c r="O7">
        <v>1.95</v>
      </c>
      <c r="P7">
        <v>2</v>
      </c>
      <c r="Q7">
        <v>2.0499999999999998</v>
      </c>
      <c r="R7">
        <v>2.1</v>
      </c>
      <c r="S7">
        <v>2.15</v>
      </c>
      <c r="T7">
        <v>2.2000000000000002</v>
      </c>
      <c r="U7">
        <v>2.4</v>
      </c>
      <c r="V7">
        <v>2.6</v>
      </c>
      <c r="W7">
        <v>2.8</v>
      </c>
      <c r="X7">
        <v>3</v>
      </c>
      <c r="Y7">
        <v>3.2</v>
      </c>
      <c r="Z7">
        <v>3.4</v>
      </c>
      <c r="AA7">
        <v>3.6</v>
      </c>
      <c r="AB7">
        <v>3.8</v>
      </c>
      <c r="AC7">
        <v>4</v>
      </c>
      <c r="AE7">
        <v>1.4</v>
      </c>
      <c r="AF7">
        <v>1.45</v>
      </c>
      <c r="AG7">
        <v>1.5</v>
      </c>
      <c r="AH7">
        <v>1.55</v>
      </c>
      <c r="AI7">
        <v>1.6</v>
      </c>
      <c r="AJ7">
        <v>1.65</v>
      </c>
      <c r="AK7">
        <v>1.7</v>
      </c>
      <c r="AL7">
        <v>1.75</v>
      </c>
      <c r="AM7">
        <v>1.8</v>
      </c>
      <c r="AN7">
        <v>1.85</v>
      </c>
      <c r="AO7">
        <v>1.9</v>
      </c>
      <c r="AP7">
        <v>1.95</v>
      </c>
      <c r="AQ7">
        <v>2</v>
      </c>
      <c r="AR7">
        <v>2.0499999999999998</v>
      </c>
      <c r="AS7">
        <v>2.1</v>
      </c>
      <c r="AT7">
        <v>2.15</v>
      </c>
      <c r="AU7">
        <v>2.2000000000000002</v>
      </c>
      <c r="AV7">
        <v>2.4</v>
      </c>
      <c r="AW7">
        <v>2.6</v>
      </c>
      <c r="AX7">
        <v>2.8</v>
      </c>
      <c r="AY7">
        <v>3</v>
      </c>
      <c r="AZ7">
        <v>3.2</v>
      </c>
      <c r="BA7">
        <v>3.4</v>
      </c>
      <c r="BB7">
        <v>3.6</v>
      </c>
      <c r="BC7">
        <v>3.8</v>
      </c>
      <c r="BD7">
        <v>4</v>
      </c>
    </row>
    <row r="8" spans="1:56" ht="15.75">
      <c r="A8" s="23" t="s">
        <v>51</v>
      </c>
      <c r="B8" s="20" t="s">
        <v>6</v>
      </c>
      <c r="C8" s="20"/>
      <c r="D8">
        <v>0.58333333333333337</v>
      </c>
      <c r="E8">
        <v>0.59183673469387799</v>
      </c>
      <c r="F8">
        <v>0.6</v>
      </c>
      <c r="G8">
        <v>0.60784313725490202</v>
      </c>
      <c r="H8">
        <v>0.61538461538461542</v>
      </c>
      <c r="I8">
        <v>0.62264150943396224</v>
      </c>
      <c r="J8">
        <v>0.62962962962962954</v>
      </c>
      <c r="K8">
        <v>0.63636363636363635</v>
      </c>
      <c r="L8">
        <v>0.6428571428571429</v>
      </c>
      <c r="M8">
        <v>0.64912280701754388</v>
      </c>
      <c r="N8">
        <v>0.65517241379310343</v>
      </c>
      <c r="O8">
        <v>0.66101694915254228</v>
      </c>
      <c r="P8">
        <v>0.66666666666666663</v>
      </c>
      <c r="Q8">
        <v>0.67213114754098402</v>
      </c>
      <c r="R8">
        <v>0.67741935483870996</v>
      </c>
      <c r="S8">
        <v>0.68253968253968256</v>
      </c>
      <c r="T8">
        <v>0.6875</v>
      </c>
      <c r="U8">
        <v>0.70588235294117652</v>
      </c>
      <c r="V8">
        <v>0.72222222222222221</v>
      </c>
      <c r="W8">
        <v>0.73684210526315785</v>
      </c>
      <c r="X8">
        <v>0.75</v>
      </c>
      <c r="Y8">
        <v>0.76190476190476197</v>
      </c>
      <c r="Z8">
        <v>0.7727272727272726</v>
      </c>
      <c r="AA8">
        <v>0.78260869565217395</v>
      </c>
      <c r="AB8">
        <v>0.79166666666666663</v>
      </c>
      <c r="AC8">
        <v>0.8</v>
      </c>
      <c r="AE8">
        <v>0.58333333333333304</v>
      </c>
      <c r="AF8">
        <v>0.59183673469387754</v>
      </c>
      <c r="AG8">
        <v>0.6</v>
      </c>
      <c r="AH8">
        <v>0.60784313725490202</v>
      </c>
      <c r="AI8">
        <v>0.61538461538461542</v>
      </c>
      <c r="AJ8">
        <v>0.62264150943396224</v>
      </c>
      <c r="AK8">
        <v>0.62962962962962954</v>
      </c>
      <c r="AL8">
        <v>0.63636363636363635</v>
      </c>
      <c r="AM8">
        <v>0.6428571428571429</v>
      </c>
      <c r="AN8">
        <v>0.64912280701754388</v>
      </c>
      <c r="AO8">
        <v>0.65517241379310343</v>
      </c>
      <c r="AP8">
        <v>0.66101694915254228</v>
      </c>
      <c r="AQ8">
        <v>0.66666666666666663</v>
      </c>
      <c r="AR8">
        <v>0.67213114754098402</v>
      </c>
      <c r="AS8">
        <v>0.67741935483870974</v>
      </c>
      <c r="AT8">
        <v>0.68253968253968256</v>
      </c>
      <c r="AU8">
        <v>0.6875</v>
      </c>
      <c r="AV8">
        <v>0.70588235294117696</v>
      </c>
      <c r="AW8">
        <v>0.72222222222222199</v>
      </c>
      <c r="AX8">
        <v>0.73684210526315796</v>
      </c>
      <c r="AY8">
        <v>0.75</v>
      </c>
      <c r="AZ8">
        <v>0.76190476190476186</v>
      </c>
      <c r="BA8">
        <v>0.7727272727272726</v>
      </c>
      <c r="BB8">
        <v>0.78260869565217395</v>
      </c>
      <c r="BC8">
        <v>0.79166666666666663</v>
      </c>
      <c r="BD8">
        <v>0.8</v>
      </c>
    </row>
    <row r="9" spans="1:56">
      <c r="A9" s="24"/>
      <c r="B9" s="20" t="s">
        <v>7</v>
      </c>
      <c r="C9" s="20"/>
      <c r="D9">
        <v>0.41666666666666702</v>
      </c>
      <c r="E9">
        <v>0.4081632653061224</v>
      </c>
      <c r="F9">
        <v>0.4</v>
      </c>
      <c r="G9">
        <v>0.39215686274509809</v>
      </c>
      <c r="H9">
        <v>0.38461538461538458</v>
      </c>
      <c r="I9">
        <v>0.37735849056603776</v>
      </c>
      <c r="J9">
        <v>0.37037037037037035</v>
      </c>
      <c r="K9">
        <v>0.36363636363636365</v>
      </c>
      <c r="L9">
        <v>0.35714285714285698</v>
      </c>
      <c r="M9">
        <v>0.35087719298245612</v>
      </c>
      <c r="N9">
        <v>0.34482758620689657</v>
      </c>
      <c r="O9">
        <v>0.33898305084745761</v>
      </c>
      <c r="P9">
        <v>0.33333333333333331</v>
      </c>
      <c r="Q9">
        <v>0.32786885245901598</v>
      </c>
      <c r="R9">
        <v>0.32258064516129031</v>
      </c>
      <c r="S9">
        <v>0.31746031746031744</v>
      </c>
      <c r="T9">
        <v>0.3125</v>
      </c>
      <c r="U9">
        <v>0.29411764705882398</v>
      </c>
      <c r="V9">
        <v>0.27777777777777779</v>
      </c>
      <c r="W9">
        <v>0.26315789473684209</v>
      </c>
      <c r="X9">
        <v>0.25</v>
      </c>
      <c r="Y9">
        <v>0.238095238095238</v>
      </c>
      <c r="Z9">
        <v>0.22727272727272727</v>
      </c>
      <c r="AA9">
        <v>0.21739130434782611</v>
      </c>
      <c r="AB9">
        <v>0.20833333333333334</v>
      </c>
      <c r="AC9">
        <v>0.2</v>
      </c>
      <c r="AE9">
        <v>0.41666666666666669</v>
      </c>
      <c r="AF9">
        <v>0.4081632653061224</v>
      </c>
      <c r="AG9">
        <v>0.4</v>
      </c>
      <c r="AH9">
        <v>0.39215686274509809</v>
      </c>
      <c r="AI9">
        <v>0.38461538461538503</v>
      </c>
      <c r="AJ9">
        <v>0.37735849056603799</v>
      </c>
      <c r="AK9">
        <v>0.37037037037037035</v>
      </c>
      <c r="AL9">
        <v>0.36363636363636365</v>
      </c>
      <c r="AM9">
        <v>0.35714285714285715</v>
      </c>
      <c r="AN9">
        <v>0.35087719298245601</v>
      </c>
      <c r="AO9">
        <v>0.34482758620689657</v>
      </c>
      <c r="AP9">
        <v>0.33898305084745761</v>
      </c>
      <c r="AQ9">
        <v>0.33333333333333331</v>
      </c>
      <c r="AR9">
        <v>0.32786885245901642</v>
      </c>
      <c r="AS9">
        <v>0.32258064516129031</v>
      </c>
      <c r="AT9">
        <v>0.31746031746031744</v>
      </c>
      <c r="AU9">
        <v>0.3125</v>
      </c>
      <c r="AV9">
        <v>0.29411764705882354</v>
      </c>
      <c r="AW9">
        <v>0.27777777777777779</v>
      </c>
      <c r="AX9">
        <v>0.26315789473684209</v>
      </c>
      <c r="AY9">
        <v>0.25</v>
      </c>
      <c r="AZ9">
        <v>0.23809523809523808</v>
      </c>
      <c r="BA9">
        <v>0.22727272727272727</v>
      </c>
      <c r="BB9">
        <v>0.21739130434782611</v>
      </c>
      <c r="BC9">
        <v>0.20833333333333334</v>
      </c>
      <c r="BD9">
        <v>0.2</v>
      </c>
    </row>
    <row r="10" spans="1:56" ht="15.75">
      <c r="B10" s="20" t="s">
        <v>52</v>
      </c>
      <c r="D10">
        <f t="shared" ref="D10:AC10" si="3">D4*D9</f>
        <v>4.1666666666666705</v>
      </c>
      <c r="E10">
        <f t="shared" si="3"/>
        <v>4.0816326530612237</v>
      </c>
      <c r="F10">
        <f t="shared" si="3"/>
        <v>4</v>
      </c>
      <c r="G10">
        <f t="shared" si="3"/>
        <v>3.9215686274509807</v>
      </c>
      <c r="H10">
        <f t="shared" si="3"/>
        <v>3.8461538461538458</v>
      </c>
      <c r="I10">
        <f t="shared" si="3"/>
        <v>3.7735849056603774</v>
      </c>
      <c r="J10">
        <f t="shared" si="3"/>
        <v>3.7037037037037033</v>
      </c>
      <c r="K10">
        <f t="shared" si="3"/>
        <v>3.6363636363636367</v>
      </c>
      <c r="L10">
        <f t="shared" si="3"/>
        <v>3.5714285714285698</v>
      </c>
      <c r="M10">
        <f t="shared" si="3"/>
        <v>3.5087719298245612</v>
      </c>
      <c r="N10">
        <f t="shared" si="3"/>
        <v>3.4482758620689657</v>
      </c>
      <c r="O10">
        <f t="shared" si="3"/>
        <v>3.3898305084745761</v>
      </c>
      <c r="P10">
        <f t="shared" si="3"/>
        <v>3.333333333333333</v>
      </c>
      <c r="Q10">
        <f t="shared" si="3"/>
        <v>3.2786885245901596</v>
      </c>
      <c r="R10">
        <f t="shared" si="3"/>
        <v>3.225806451612903</v>
      </c>
      <c r="S10">
        <f t="shared" si="3"/>
        <v>3.1746031746031744</v>
      </c>
      <c r="T10">
        <f t="shared" si="3"/>
        <v>3.125</v>
      </c>
      <c r="U10">
        <f t="shared" si="3"/>
        <v>2.9411764705882399</v>
      </c>
      <c r="V10">
        <f t="shared" si="3"/>
        <v>2.7777777777777777</v>
      </c>
      <c r="W10">
        <f t="shared" si="3"/>
        <v>2.6315789473684208</v>
      </c>
      <c r="X10">
        <f t="shared" si="3"/>
        <v>2.5</v>
      </c>
      <c r="Y10">
        <f t="shared" si="3"/>
        <v>2.38095238095238</v>
      </c>
      <c r="Z10">
        <f t="shared" si="3"/>
        <v>2.2727272727272725</v>
      </c>
      <c r="AA10">
        <f t="shared" si="3"/>
        <v>2.1739130434782612</v>
      </c>
      <c r="AB10">
        <f t="shared" si="3"/>
        <v>2.0833333333333335</v>
      </c>
      <c r="AC10">
        <f t="shared" si="3"/>
        <v>2</v>
      </c>
      <c r="AE10">
        <f t="shared" ref="AE10:BD10" si="4">AE4*AE9</f>
        <v>4.166666666666667</v>
      </c>
      <c r="AF10">
        <f t="shared" si="4"/>
        <v>4.0816326530612237</v>
      </c>
      <c r="AG10">
        <f t="shared" si="4"/>
        <v>4</v>
      </c>
      <c r="AH10">
        <f t="shared" si="4"/>
        <v>3.9215686274509807</v>
      </c>
      <c r="AI10">
        <f t="shared" si="4"/>
        <v>3.8461538461538503</v>
      </c>
      <c r="AJ10">
        <f t="shared" si="4"/>
        <v>3.7735849056603801</v>
      </c>
      <c r="AK10">
        <f t="shared" si="4"/>
        <v>3.7037037037037033</v>
      </c>
      <c r="AL10">
        <f t="shared" si="4"/>
        <v>3.6363636363636367</v>
      </c>
      <c r="AM10">
        <f t="shared" si="4"/>
        <v>3.5714285714285716</v>
      </c>
      <c r="AN10">
        <f t="shared" si="4"/>
        <v>3.5087719298245599</v>
      </c>
      <c r="AO10">
        <f t="shared" si="4"/>
        <v>3.4482758620689657</v>
      </c>
      <c r="AP10">
        <f t="shared" si="4"/>
        <v>3.3898305084745761</v>
      </c>
      <c r="AQ10">
        <f t="shared" si="4"/>
        <v>3.333333333333333</v>
      </c>
      <c r="AR10">
        <f t="shared" si="4"/>
        <v>3.278688524590164</v>
      </c>
      <c r="AS10">
        <f t="shared" si="4"/>
        <v>3.225806451612903</v>
      </c>
      <c r="AT10">
        <f t="shared" si="4"/>
        <v>3.1746031746031744</v>
      </c>
      <c r="AU10">
        <f t="shared" si="4"/>
        <v>3.125</v>
      </c>
      <c r="AV10">
        <f t="shared" si="4"/>
        <v>2.9411764705882355</v>
      </c>
      <c r="AW10">
        <f t="shared" si="4"/>
        <v>2.7777777777777777</v>
      </c>
      <c r="AX10">
        <f t="shared" si="4"/>
        <v>2.6315789473684208</v>
      </c>
      <c r="AY10">
        <f t="shared" si="4"/>
        <v>2.5</v>
      </c>
      <c r="AZ10">
        <f t="shared" si="4"/>
        <v>2.3809523809523809</v>
      </c>
      <c r="BA10">
        <f t="shared" si="4"/>
        <v>2.2727272727272725</v>
      </c>
      <c r="BB10">
        <f t="shared" si="4"/>
        <v>2.1739130434782612</v>
      </c>
      <c r="BC10">
        <f t="shared" si="4"/>
        <v>2.0833333333333335</v>
      </c>
      <c r="BD10">
        <f t="shared" si="4"/>
        <v>2</v>
      </c>
    </row>
    <row r="11" spans="1:56"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</row>
    <row r="12" spans="1:56">
      <c r="B12" s="20" t="s">
        <v>9</v>
      </c>
      <c r="C12" s="20"/>
      <c r="D12" s="8" t="s">
        <v>11</v>
      </c>
      <c r="E12" s="8" t="s">
        <v>11</v>
      </c>
      <c r="F12" s="8" t="s">
        <v>11</v>
      </c>
      <c r="G12" s="8" t="s">
        <v>11</v>
      </c>
      <c r="H12" s="8" t="s">
        <v>11</v>
      </c>
      <c r="I12" s="8" t="s">
        <v>11</v>
      </c>
      <c r="J12" s="8" t="s">
        <v>11</v>
      </c>
      <c r="K12" s="8" t="s">
        <v>11</v>
      </c>
      <c r="L12" s="8" t="s">
        <v>11</v>
      </c>
      <c r="M12" s="8" t="s">
        <v>11</v>
      </c>
      <c r="N12" s="8" t="s">
        <v>11</v>
      </c>
      <c r="O12" s="8" t="s">
        <v>11</v>
      </c>
      <c r="P12" s="8" t="s">
        <v>11</v>
      </c>
      <c r="Q12" s="8" t="s">
        <v>11</v>
      </c>
      <c r="R12" s="8" t="s">
        <v>11</v>
      </c>
      <c r="S12" s="8" t="s">
        <v>11</v>
      </c>
      <c r="T12" s="8" t="s">
        <v>11</v>
      </c>
      <c r="U12" s="8" t="s">
        <v>11</v>
      </c>
      <c r="V12" s="8" t="s">
        <v>11</v>
      </c>
      <c r="W12" s="8" t="s">
        <v>11</v>
      </c>
      <c r="X12" s="8" t="s">
        <v>11</v>
      </c>
      <c r="Y12" s="8" t="s">
        <v>11</v>
      </c>
      <c r="Z12" s="8" t="s">
        <v>11</v>
      </c>
      <c r="AA12" s="8" t="s">
        <v>11</v>
      </c>
      <c r="AB12" s="8" t="s">
        <v>11</v>
      </c>
      <c r="AC12" s="8" t="s">
        <v>11</v>
      </c>
      <c r="AE12" s="8" t="s">
        <v>11</v>
      </c>
      <c r="AF12" s="8" t="s">
        <v>11</v>
      </c>
      <c r="AG12" s="8" t="s">
        <v>11</v>
      </c>
      <c r="AH12" s="8" t="s">
        <v>11</v>
      </c>
      <c r="AI12" s="8" t="s">
        <v>11</v>
      </c>
      <c r="AJ12" s="8" t="s">
        <v>11</v>
      </c>
      <c r="AK12" s="8" t="s">
        <v>11</v>
      </c>
      <c r="AL12" s="8" t="s">
        <v>11</v>
      </c>
      <c r="AM12" s="8" t="s">
        <v>11</v>
      </c>
      <c r="AN12" s="8" t="s">
        <v>11</v>
      </c>
      <c r="AO12" s="8" t="s">
        <v>11</v>
      </c>
      <c r="AP12" s="8" t="s">
        <v>11</v>
      </c>
      <c r="AQ12" s="8" t="s">
        <v>11</v>
      </c>
      <c r="AR12" s="8" t="s">
        <v>11</v>
      </c>
      <c r="AS12" s="8" t="s">
        <v>11</v>
      </c>
      <c r="AT12" s="8" t="s">
        <v>11</v>
      </c>
      <c r="AU12" s="8" t="s">
        <v>11</v>
      </c>
      <c r="AV12" s="8" t="s">
        <v>11</v>
      </c>
      <c r="AW12" s="8" t="s">
        <v>11</v>
      </c>
      <c r="AX12" s="8" t="s">
        <v>11</v>
      </c>
      <c r="AY12" s="8" t="s">
        <v>11</v>
      </c>
      <c r="AZ12" s="8" t="s">
        <v>11</v>
      </c>
      <c r="BA12" s="8" t="s">
        <v>11</v>
      </c>
      <c r="BB12" s="8" t="s">
        <v>11</v>
      </c>
      <c r="BC12" s="8" t="s">
        <v>11</v>
      </c>
      <c r="BD12" s="8" t="s">
        <v>11</v>
      </c>
    </row>
    <row r="13" spans="1:56"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E13" s="2"/>
    </row>
    <row r="14" spans="1:56">
      <c r="A14" s="44"/>
      <c r="B14" s="22" t="s">
        <v>53</v>
      </c>
      <c r="C14" s="22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  <c r="Z14" s="8"/>
      <c r="AA14" s="8"/>
      <c r="AB14" s="8"/>
      <c r="AC14" s="8"/>
      <c r="AE14" s="8"/>
    </row>
    <row r="15" spans="1:56" ht="15.75">
      <c r="A15" s="21" t="s">
        <v>54</v>
      </c>
      <c r="B15" s="20" t="s">
        <v>55</v>
      </c>
      <c r="C15" s="20"/>
      <c r="D15" s="58">
        <v>1.2123937</v>
      </c>
      <c r="E15" s="58">
        <v>1.0873018999999999</v>
      </c>
      <c r="F15" s="58">
        <v>0.96859379000000001</v>
      </c>
      <c r="G15" s="58">
        <v>0.85450128999999997</v>
      </c>
      <c r="H15" s="58">
        <v>0.74721875000000004</v>
      </c>
      <c r="I15" s="58">
        <v>0.64445812000000002</v>
      </c>
      <c r="J15" s="58">
        <v>0.54863735999999996</v>
      </c>
      <c r="K15" s="58">
        <v>0.45711408999999997</v>
      </c>
      <c r="L15" s="58">
        <v>0.37036227999999999</v>
      </c>
      <c r="M15" s="58">
        <v>0.29256615000000002</v>
      </c>
      <c r="N15" s="58">
        <v>0.21849262999999999</v>
      </c>
      <c r="O15" s="58">
        <v>0.15196605999999999</v>
      </c>
      <c r="P15" s="58">
        <v>9.1124783000000001E-2</v>
      </c>
      <c r="Q15" s="58">
        <v>3.4076177999999999E-2</v>
      </c>
      <c r="R15" s="59">
        <v>1.0654652E-8</v>
      </c>
      <c r="S15" s="59">
        <v>1.7329939000000001E-8</v>
      </c>
      <c r="T15" s="59">
        <v>1.9982523000000001E-8</v>
      </c>
      <c r="U15" s="59">
        <v>2.0258577E-8</v>
      </c>
      <c r="V15" s="59">
        <v>1.6915843E-8</v>
      </c>
      <c r="W15" s="59">
        <v>1.3652696999999999E-8</v>
      </c>
      <c r="X15" s="59">
        <v>1.0992647E-8</v>
      </c>
      <c r="Y15" s="59">
        <v>8.9126676000000001E-9</v>
      </c>
      <c r="Z15" s="59">
        <v>7.2979386999999997E-9</v>
      </c>
      <c r="AA15" s="59">
        <v>6.0388255000000001E-9</v>
      </c>
      <c r="AB15" s="59">
        <v>5.0484094999999998E-9</v>
      </c>
      <c r="AC15" s="59">
        <v>4.2613792000000002E-9</v>
      </c>
      <c r="AE15" s="58">
        <v>1.1402835</v>
      </c>
      <c r="AF15" s="58">
        <v>1.0189256</v>
      </c>
      <c r="AG15" s="58">
        <v>0.90123207000000005</v>
      </c>
      <c r="AH15" s="58">
        <v>0.78942458000000004</v>
      </c>
      <c r="AI15" s="58">
        <v>0.68563101999999998</v>
      </c>
      <c r="AJ15" s="58">
        <v>0.58775924999999996</v>
      </c>
      <c r="AK15" s="58">
        <v>0.49409965</v>
      </c>
      <c r="AL15" s="58">
        <v>0.40840298000000003</v>
      </c>
      <c r="AM15" s="58">
        <v>0.32837711000000003</v>
      </c>
      <c r="AN15" s="58">
        <v>0.25374266000000001</v>
      </c>
      <c r="AO15" s="58">
        <v>0.18894441000000001</v>
      </c>
      <c r="AP15" s="58">
        <v>0.12965355000000001</v>
      </c>
      <c r="AQ15" s="58">
        <v>7.6689635000000006E-2</v>
      </c>
      <c r="AR15" s="58">
        <v>2.8151800000000001E-2</v>
      </c>
      <c r="AS15" s="59">
        <v>3.3633929999999999E-8</v>
      </c>
      <c r="AT15" s="59">
        <v>5.2798901999999997E-8</v>
      </c>
      <c r="AU15" s="59">
        <v>6.0262896999999999E-8</v>
      </c>
      <c r="AV15" s="59">
        <v>5.9835945999999997E-8</v>
      </c>
      <c r="AW15" s="59">
        <v>4.9214863E-8</v>
      </c>
      <c r="AX15" s="59">
        <v>3.9198010000000001E-8</v>
      </c>
      <c r="AY15" s="59">
        <v>3.1182051000000001E-8</v>
      </c>
      <c r="AZ15" s="59">
        <v>2.5001875000000001E-8</v>
      </c>
      <c r="BA15" s="59">
        <v>2.0261427999999999E-8</v>
      </c>
      <c r="BB15" s="59">
        <v>1.6604469000000002E-8</v>
      </c>
      <c r="BC15" s="59">
        <v>1.3755991E-8</v>
      </c>
      <c r="BD15" s="59">
        <v>1.1512922E-8</v>
      </c>
    </row>
    <row r="16" spans="1:56" ht="15.75">
      <c r="A16" s="21"/>
      <c r="B16" s="20" t="s">
        <v>56</v>
      </c>
      <c r="C16" s="20"/>
      <c r="D16" s="58">
        <v>0</v>
      </c>
      <c r="E16" s="58">
        <v>0</v>
      </c>
      <c r="F16" s="58">
        <v>3.4704899999999999E-4</v>
      </c>
      <c r="G16" s="58">
        <v>0</v>
      </c>
      <c r="H16" s="58">
        <v>2.9485136999999999E-4</v>
      </c>
      <c r="I16" s="58">
        <v>0</v>
      </c>
      <c r="J16" s="58">
        <v>2.3670515999999999E-4</v>
      </c>
      <c r="K16" s="58">
        <v>2.0571454E-4</v>
      </c>
      <c r="L16" s="58">
        <v>0</v>
      </c>
      <c r="M16" s="58">
        <v>1.4244249E-4</v>
      </c>
      <c r="N16" s="58">
        <v>1.1037131E-4</v>
      </c>
      <c r="O16" s="59">
        <v>7.9471993000000002E-5</v>
      </c>
      <c r="P16" s="58">
        <v>0</v>
      </c>
      <c r="Q16" s="58">
        <v>0</v>
      </c>
      <c r="R16" s="58">
        <v>6.9406001999999994E-2</v>
      </c>
      <c r="S16" s="58">
        <v>0.2261079</v>
      </c>
      <c r="T16" s="58">
        <v>0.37823430000000002</v>
      </c>
      <c r="U16" s="58">
        <v>0.94317777000000003</v>
      </c>
      <c r="V16" s="58">
        <v>1.4461708</v>
      </c>
      <c r="W16" s="58">
        <v>1.8965692999999999</v>
      </c>
      <c r="X16" s="58">
        <v>2.3021015999999999</v>
      </c>
      <c r="Y16" s="58">
        <v>2.6691010999999998</v>
      </c>
      <c r="Z16" s="58">
        <v>3.0027826000000002</v>
      </c>
      <c r="AA16" s="58">
        <v>3.3074688999999999</v>
      </c>
      <c r="AB16" s="58">
        <v>3.5867726000000002</v>
      </c>
      <c r="AC16" s="58">
        <v>3.8437307000000001</v>
      </c>
      <c r="AE16" s="58">
        <v>0</v>
      </c>
      <c r="AF16" s="58">
        <v>6.2299198999999999E-4</v>
      </c>
      <c r="AG16" s="58">
        <v>5.8011784000000001E-4</v>
      </c>
      <c r="AH16" s="58">
        <v>0</v>
      </c>
      <c r="AI16" s="58">
        <v>4.8601254999999999E-4</v>
      </c>
      <c r="AJ16" s="58">
        <v>4.3581381000000003E-4</v>
      </c>
      <c r="AK16" s="58">
        <v>0</v>
      </c>
      <c r="AL16" s="58">
        <v>3.2958491E-4</v>
      </c>
      <c r="AM16" s="58">
        <v>2.7561969000000001E-4</v>
      </c>
      <c r="AN16" s="58">
        <v>0</v>
      </c>
      <c r="AO16" s="58">
        <v>1.7046138000000001E-4</v>
      </c>
      <c r="AP16" s="58">
        <v>1.2088831000000001E-4</v>
      </c>
      <c r="AQ16" s="58">
        <v>0</v>
      </c>
      <c r="AR16" s="58">
        <v>0</v>
      </c>
      <c r="AS16" s="58">
        <v>7.4840003000000002E-2</v>
      </c>
      <c r="AT16" s="58">
        <v>0.23037113000000001</v>
      </c>
      <c r="AU16" s="58">
        <v>0.38159652999999999</v>
      </c>
      <c r="AV16" s="58">
        <v>0.94419883000000004</v>
      </c>
      <c r="AW16" s="58">
        <v>1.4458913</v>
      </c>
      <c r="AX16" s="58">
        <v>1.8955127000000001</v>
      </c>
      <c r="AY16" s="58">
        <v>2.3005681</v>
      </c>
      <c r="AZ16" s="58">
        <v>2.6672742</v>
      </c>
      <c r="BA16" s="58">
        <v>3.0007787000000001</v>
      </c>
      <c r="BB16" s="58">
        <v>3.3053653000000001</v>
      </c>
      <c r="BC16" s="58">
        <v>3.5846193999999998</v>
      </c>
      <c r="BD16" s="58">
        <v>3.8415637</v>
      </c>
    </row>
    <row r="17" spans="1:57" ht="15.75">
      <c r="A17" s="21" t="s">
        <v>57</v>
      </c>
      <c r="B17" s="20" t="s">
        <v>58</v>
      </c>
      <c r="C17" s="20"/>
      <c r="D17" s="58">
        <v>2.8128517999999998</v>
      </c>
      <c r="E17" s="58">
        <v>2.8590696000000002</v>
      </c>
      <c r="F17" s="58">
        <v>2.9030209</v>
      </c>
      <c r="G17" s="58">
        <v>2.9462480000000002</v>
      </c>
      <c r="H17" s="58">
        <v>2.9863479000000002</v>
      </c>
      <c r="I17" s="58">
        <v>3.0254012000000001</v>
      </c>
      <c r="J17" s="58">
        <v>3.0607755999999999</v>
      </c>
      <c r="K17" s="58">
        <v>3.0950362</v>
      </c>
      <c r="L17" s="58">
        <v>3.1275114999999998</v>
      </c>
      <c r="M17" s="58">
        <v>3.1534608</v>
      </c>
      <c r="N17" s="58">
        <v>3.1784732</v>
      </c>
      <c r="O17" s="58">
        <v>3.1980312</v>
      </c>
      <c r="P17" s="58">
        <v>3.2140102000000002</v>
      </c>
      <c r="Q17" s="58">
        <v>3.2282975</v>
      </c>
      <c r="R17" s="58">
        <v>3.2170002000000002</v>
      </c>
      <c r="S17" s="58">
        <v>3.1668466</v>
      </c>
      <c r="T17" s="58">
        <v>3.1180450999999998</v>
      </c>
      <c r="U17" s="58">
        <v>2.9363603999999999</v>
      </c>
      <c r="V17" s="58">
        <v>2.7742387000000002</v>
      </c>
      <c r="W17" s="58">
        <v>2.6288801999999998</v>
      </c>
      <c r="X17" s="58">
        <v>2.4978851999999998</v>
      </c>
      <c r="Y17" s="58">
        <v>2.3792589999999998</v>
      </c>
      <c r="Z17" s="58">
        <v>2.2713470999999998</v>
      </c>
      <c r="AA17" s="58">
        <v>2.1727713</v>
      </c>
      <c r="AB17" s="58">
        <v>2.0823765999999999</v>
      </c>
      <c r="AC17" s="58">
        <v>1.9991893999999999</v>
      </c>
      <c r="AE17" s="58">
        <v>2.7843189000000002</v>
      </c>
      <c r="AF17" s="58">
        <v>2.8313554000000001</v>
      </c>
      <c r="AG17" s="58">
        <v>2.8795666</v>
      </c>
      <c r="AH17" s="58">
        <v>2.9262415000000002</v>
      </c>
      <c r="AI17" s="58">
        <v>2.9689949000000002</v>
      </c>
      <c r="AJ17" s="58">
        <v>3.0096368</v>
      </c>
      <c r="AK17" s="58">
        <v>3.0499649</v>
      </c>
      <c r="AL17" s="58">
        <v>3.0857077999999998</v>
      </c>
      <c r="AM17" s="58">
        <v>3.1189841</v>
      </c>
      <c r="AN17" s="58">
        <v>3.1499921</v>
      </c>
      <c r="AO17" s="58">
        <v>3.1732222000000001</v>
      </c>
      <c r="AP17" s="58">
        <v>3.1934643</v>
      </c>
      <c r="AQ17" s="58">
        <v>3.209336</v>
      </c>
      <c r="AR17" s="58">
        <v>3.2226995999999999</v>
      </c>
      <c r="AS17" s="58">
        <v>3.2098843000000001</v>
      </c>
      <c r="AT17" s="58">
        <v>3.1605539999999999</v>
      </c>
      <c r="AU17" s="58">
        <v>3.1123994000000001</v>
      </c>
      <c r="AV17" s="58">
        <v>2.9324669000000001</v>
      </c>
      <c r="AW17" s="58">
        <v>2.7713988000000001</v>
      </c>
      <c r="AX17" s="58">
        <v>2.6267331</v>
      </c>
      <c r="AY17" s="58">
        <v>2.4962178000000002</v>
      </c>
      <c r="AZ17" s="58">
        <v>2.3779362000000002</v>
      </c>
      <c r="BA17" s="58">
        <v>2.2702789999999999</v>
      </c>
      <c r="BB17" s="58">
        <v>2.1718959</v>
      </c>
      <c r="BC17" s="58">
        <v>2.0816498000000001</v>
      </c>
      <c r="BD17" s="58">
        <v>1.9985792</v>
      </c>
    </row>
    <row r="18" spans="1:57" ht="15.75">
      <c r="A18" s="21"/>
      <c r="B18" s="20" t="s">
        <v>59</v>
      </c>
      <c r="C18" s="20"/>
      <c r="D18" s="58">
        <v>7.0710547999999998E-2</v>
      </c>
      <c r="E18" s="58">
        <v>6.7630579999999996E-2</v>
      </c>
      <c r="F18" s="58">
        <v>6.4192641999999994E-2</v>
      </c>
      <c r="G18" s="58">
        <v>6.0409653000000001E-2</v>
      </c>
      <c r="H18" s="58">
        <v>5.6293616999999997E-2</v>
      </c>
      <c r="I18" s="58">
        <v>5.1862778999999998E-2</v>
      </c>
      <c r="J18" s="58">
        <v>4.7145351000000002E-2</v>
      </c>
      <c r="K18" s="58">
        <v>4.2106655E-2</v>
      </c>
      <c r="L18" s="58">
        <v>3.6777378999999999E-2</v>
      </c>
      <c r="M18" s="58">
        <v>3.1372509999999999E-2</v>
      </c>
      <c r="N18" s="58">
        <v>2.5655008E-2</v>
      </c>
      <c r="O18" s="58">
        <v>1.9916624000000001E-2</v>
      </c>
      <c r="P18" s="58">
        <v>1.4099181000000001E-2</v>
      </c>
      <c r="Q18" s="58">
        <v>8.1574299000000006E-3</v>
      </c>
      <c r="R18" s="58">
        <v>4.4031193999999997E-3</v>
      </c>
      <c r="S18" s="58">
        <v>3.8782851E-3</v>
      </c>
      <c r="T18" s="58">
        <v>3.4774389000000001E-3</v>
      </c>
      <c r="U18" s="58">
        <v>2.4080389999999998E-3</v>
      </c>
      <c r="V18" s="58">
        <v>1.7695482E-3</v>
      </c>
      <c r="W18" s="58">
        <v>1.3493607E-3</v>
      </c>
      <c r="X18" s="58">
        <v>1.0574111000000001E-3</v>
      </c>
      <c r="Y18" s="58">
        <v>8.4668557999999997E-4</v>
      </c>
      <c r="Z18" s="58">
        <v>6.9006497000000003E-4</v>
      </c>
      <c r="AA18" s="58">
        <v>5.7086840999999997E-4</v>
      </c>
      <c r="AB18" s="58">
        <v>4.7834419000000001E-4</v>
      </c>
      <c r="AC18" s="58">
        <v>4.0530435000000001E-4</v>
      </c>
      <c r="AE18" s="58">
        <v>0.12103215000000001</v>
      </c>
      <c r="AF18" s="58">
        <v>0.11567581</v>
      </c>
      <c r="AG18" s="58">
        <v>0.10960066</v>
      </c>
      <c r="AH18" s="58">
        <v>0.10295127</v>
      </c>
      <c r="AI18" s="58">
        <v>9.5763960999999995E-2</v>
      </c>
      <c r="AJ18" s="58">
        <v>8.8094418999999993E-2</v>
      </c>
      <c r="AK18" s="58">
        <v>7.9819590999999995E-2</v>
      </c>
      <c r="AL18" s="58">
        <v>7.1126446999999995E-2</v>
      </c>
      <c r="AM18" s="58">
        <v>6.2033680000000001E-2</v>
      </c>
      <c r="AN18" s="58">
        <v>5.2518584E-2</v>
      </c>
      <c r="AO18" s="58">
        <v>4.3054639999999998E-2</v>
      </c>
      <c r="AP18" s="58">
        <v>3.3356336E-2</v>
      </c>
      <c r="AQ18" s="58">
        <v>2.3653824E-2</v>
      </c>
      <c r="AR18" s="58">
        <v>1.3918542000000001E-2</v>
      </c>
      <c r="AS18" s="58">
        <v>7.9610671999999997E-3</v>
      </c>
      <c r="AT18" s="58">
        <v>7.0245376999999998E-3</v>
      </c>
      <c r="AU18" s="58">
        <v>6.3002893999999999E-3</v>
      </c>
      <c r="AV18" s="58">
        <v>4.3547354000000003E-3</v>
      </c>
      <c r="AW18" s="58">
        <v>3.1894894999999999E-3</v>
      </c>
      <c r="AX18" s="58">
        <v>2.4229009999999999E-3</v>
      </c>
      <c r="AY18" s="58">
        <v>1.891095E-3</v>
      </c>
      <c r="AZ18" s="58">
        <v>1.5080720000000001E-3</v>
      </c>
      <c r="BA18" s="58">
        <v>1.2241024000000001E-3</v>
      </c>
      <c r="BB18" s="58">
        <v>1.0085687000000001E-3</v>
      </c>
      <c r="BC18" s="58">
        <v>8.4173457000000001E-4</v>
      </c>
      <c r="BD18" s="58">
        <v>7.1041186999999998E-4</v>
      </c>
    </row>
    <row r="19" spans="1:57">
      <c r="A19" s="21" t="s">
        <v>60</v>
      </c>
      <c r="B19" s="45"/>
      <c r="C19" s="45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  <c r="Q19" s="47"/>
      <c r="R19" s="47"/>
      <c r="S19" s="47"/>
      <c r="T19" s="47"/>
      <c r="U19" s="47"/>
      <c r="V19" s="47"/>
      <c r="W19" s="47"/>
      <c r="X19" s="47"/>
      <c r="Y19" s="47"/>
      <c r="Z19" s="47"/>
      <c r="AA19" s="47"/>
      <c r="AB19" s="47"/>
      <c r="AC19" s="47"/>
      <c r="AE19" s="47"/>
      <c r="AF19" s="47"/>
      <c r="AG19" s="47"/>
      <c r="AH19" s="47"/>
      <c r="AI19" s="47"/>
      <c r="AJ19" s="47"/>
      <c r="AK19" s="47"/>
      <c r="AL19" s="47"/>
      <c r="AM19" s="47"/>
      <c r="AN19" s="47"/>
      <c r="AO19" s="47"/>
      <c r="AP19" s="47"/>
      <c r="AQ19" s="47"/>
      <c r="AR19" s="47"/>
      <c r="AS19" s="47"/>
      <c r="AT19" s="47"/>
      <c r="AU19" s="47"/>
      <c r="AV19" s="47"/>
      <c r="AW19" s="47"/>
      <c r="AX19" s="47"/>
      <c r="AY19" s="47"/>
      <c r="AZ19" s="47"/>
      <c r="BA19" s="47"/>
      <c r="BB19" s="47"/>
      <c r="BC19" s="47"/>
      <c r="BD19" s="47"/>
    </row>
    <row r="20" spans="1:57" ht="15.75">
      <c r="A20" s="21"/>
      <c r="B20" s="20" t="s">
        <v>61</v>
      </c>
      <c r="C20" s="11">
        <v>5</v>
      </c>
      <c r="D20" s="58">
        <v>2.4949417000000002E-2</v>
      </c>
      <c r="E20" s="58">
        <v>2.5171227000000001E-2</v>
      </c>
      <c r="F20" s="58">
        <v>2.5356897E-2</v>
      </c>
      <c r="G20" s="58">
        <v>2.5520588E-2</v>
      </c>
      <c r="H20" s="58">
        <v>2.5639476000000001E-2</v>
      </c>
      <c r="I20" s="58">
        <v>2.5732248999999999E-2</v>
      </c>
      <c r="J20" s="58">
        <v>2.5775122000000001E-2</v>
      </c>
      <c r="K20" s="58">
        <v>2.5789643000000001E-2</v>
      </c>
      <c r="L20" s="58">
        <v>2.5768655000000001E-2</v>
      </c>
      <c r="M20" s="58">
        <v>2.5675173999999999E-2</v>
      </c>
      <c r="N20" s="58">
        <v>2.5550934000000001E-2</v>
      </c>
      <c r="O20" s="58">
        <v>2.5362056000000001E-2</v>
      </c>
      <c r="P20" s="58">
        <v>2.5118728999999999E-2</v>
      </c>
      <c r="Q20" s="58">
        <v>2.4818541999999999E-2</v>
      </c>
      <c r="R20" s="58">
        <v>2.4340863000000001E-2</v>
      </c>
      <c r="S20" s="58">
        <v>2.3743770000000001E-2</v>
      </c>
      <c r="T20" s="58">
        <v>2.3169909999999998E-2</v>
      </c>
      <c r="U20" s="58">
        <v>2.1091543000000001E-2</v>
      </c>
      <c r="V20" s="58">
        <v>1.9311385E-2</v>
      </c>
      <c r="W20" s="58">
        <v>1.7772665E-2</v>
      </c>
      <c r="X20" s="58">
        <v>1.6431294999999999E-2</v>
      </c>
      <c r="Y20" s="58">
        <v>1.5252923999999999E-2</v>
      </c>
      <c r="Z20" s="58">
        <v>1.4210611E-2</v>
      </c>
      <c r="AA20" s="58">
        <v>1.3283201999999999E-2</v>
      </c>
      <c r="AB20" s="58">
        <v>1.2453126E-2</v>
      </c>
      <c r="AC20" s="58">
        <v>1.1706908E-2</v>
      </c>
      <c r="AE20" s="58">
        <v>2.7659824E-2</v>
      </c>
      <c r="AF20" s="58">
        <v>2.7891286000000001E-2</v>
      </c>
      <c r="AG20" s="58">
        <v>2.8115443E-2</v>
      </c>
      <c r="AH20" s="58">
        <v>2.8304201000000001E-2</v>
      </c>
      <c r="AI20" s="58">
        <v>2.8433742000000001E-2</v>
      </c>
      <c r="AJ20" s="58">
        <v>2.8522589000000001E-2</v>
      </c>
      <c r="AK20" s="58">
        <v>2.8586038000000001E-2</v>
      </c>
      <c r="AL20" s="58">
        <v>2.8584730999999999E-2</v>
      </c>
      <c r="AM20" s="58">
        <v>2.8538279999999999E-2</v>
      </c>
      <c r="AN20" s="58">
        <v>2.8446936999999999E-2</v>
      </c>
      <c r="AO20" s="58">
        <v>2.8268543E-2</v>
      </c>
      <c r="AP20" s="58">
        <v>2.8040514999999998E-2</v>
      </c>
      <c r="AQ20" s="58">
        <v>2.7750502999999999E-2</v>
      </c>
      <c r="AR20" s="58">
        <v>2.7398551E-2</v>
      </c>
      <c r="AS20" s="58">
        <v>2.6865595999999999E-2</v>
      </c>
      <c r="AT20" s="58">
        <v>2.621832E-2</v>
      </c>
      <c r="AU20" s="58">
        <v>2.5595264999999999E-2</v>
      </c>
      <c r="AV20" s="58">
        <v>2.3332861999999999E-2</v>
      </c>
      <c r="AW20" s="58">
        <v>2.1389057999999999E-2</v>
      </c>
      <c r="AX20" s="58">
        <v>1.9704946000000001E-2</v>
      </c>
      <c r="AY20" s="58">
        <v>1.8233926000000001E-2</v>
      </c>
      <c r="AZ20" s="58">
        <v>1.6939454E-2</v>
      </c>
      <c r="BA20" s="58">
        <v>1.5792898E-2</v>
      </c>
      <c r="BB20" s="58">
        <v>1.4771151999999999E-2</v>
      </c>
      <c r="BC20" s="58">
        <v>1.3855888E-2</v>
      </c>
      <c r="BD20" s="58">
        <v>1.3031736E-2</v>
      </c>
    </row>
    <row r="21" spans="1:57" ht="15.75">
      <c r="A21" s="21" t="s">
        <v>48</v>
      </c>
      <c r="B21" s="20" t="s">
        <v>62</v>
      </c>
      <c r="C21" s="11">
        <v>6</v>
      </c>
      <c r="D21" s="58">
        <v>2.1899004E-2</v>
      </c>
      <c r="E21" s="58">
        <v>2.2107338000000001E-2</v>
      </c>
      <c r="F21" s="58">
        <v>2.2284986999999999E-2</v>
      </c>
      <c r="G21" s="58">
        <v>2.2444299000000001E-2</v>
      </c>
      <c r="H21" s="58">
        <v>2.2565321999999999E-2</v>
      </c>
      <c r="I21" s="58">
        <v>2.2664382E-2</v>
      </c>
      <c r="J21" s="58">
        <v>2.2720574E-2</v>
      </c>
      <c r="K21" s="58">
        <v>2.2752781E-2</v>
      </c>
      <c r="L21" s="58">
        <v>2.2754706999999999E-2</v>
      </c>
      <c r="M21" s="58">
        <v>2.2693488000000001E-2</v>
      </c>
      <c r="N21" s="58">
        <v>2.2605983999999999E-2</v>
      </c>
      <c r="O21" s="58">
        <v>2.2461917000000001E-2</v>
      </c>
      <c r="P21" s="58">
        <v>2.2270208E-2</v>
      </c>
      <c r="Q21" s="58">
        <v>2.2028844999999998E-2</v>
      </c>
      <c r="R21" s="58">
        <v>2.1626553E-2</v>
      </c>
      <c r="S21" s="58">
        <v>2.1111504E-2</v>
      </c>
      <c r="T21" s="58">
        <v>2.0615904000000001E-2</v>
      </c>
      <c r="U21" s="58">
        <v>1.8816228000000001E-2</v>
      </c>
      <c r="V21" s="58">
        <v>1.7268817999999998E-2</v>
      </c>
      <c r="W21" s="58">
        <v>1.5926764999999999E-2</v>
      </c>
      <c r="X21" s="58">
        <v>1.4753344E-2</v>
      </c>
      <c r="Y21" s="58">
        <v>1.3719751000000001E-2</v>
      </c>
      <c r="Z21" s="58">
        <v>1.2803281999999999E-2</v>
      </c>
      <c r="AA21" s="58">
        <v>1.1986047999999999E-2</v>
      </c>
      <c r="AB21" s="58">
        <v>1.1253089000000001E-2</v>
      </c>
      <c r="AC21" s="58">
        <v>1.0592951999999999E-2</v>
      </c>
      <c r="AE21" s="58">
        <v>2.4045081999999999E-2</v>
      </c>
      <c r="AF21" s="58">
        <v>2.4262629000000001E-2</v>
      </c>
      <c r="AG21" s="58">
        <v>2.4474835E-2</v>
      </c>
      <c r="AH21" s="58">
        <v>2.4657524E-2</v>
      </c>
      <c r="AI21" s="58">
        <v>2.4790000999999999E-2</v>
      </c>
      <c r="AJ21" s="58">
        <v>2.4888245999999999E-2</v>
      </c>
      <c r="AK21" s="58">
        <v>2.4965543E-2</v>
      </c>
      <c r="AL21" s="58">
        <v>2.4987507999999999E-2</v>
      </c>
      <c r="AM21" s="58">
        <v>2.4971144000000001E-2</v>
      </c>
      <c r="AN21" s="58">
        <v>2.4916594E-2</v>
      </c>
      <c r="AO21" s="58">
        <v>2.4786425000000001E-2</v>
      </c>
      <c r="AP21" s="58">
        <v>2.4613388999999999E-2</v>
      </c>
      <c r="AQ21" s="58">
        <v>2.4386358E-2</v>
      </c>
      <c r="AR21" s="58">
        <v>2.4105446999999999E-2</v>
      </c>
      <c r="AS21" s="58">
        <v>2.3661211000000001E-2</v>
      </c>
      <c r="AT21" s="58">
        <v>2.3109122999999999E-2</v>
      </c>
      <c r="AU21" s="58">
        <v>2.2577E-2</v>
      </c>
      <c r="AV21" s="58">
        <v>2.0639240999999999E-2</v>
      </c>
      <c r="AW21" s="58">
        <v>1.8967426999999999E-2</v>
      </c>
      <c r="AX21" s="58">
        <v>1.7513705000000001E-2</v>
      </c>
      <c r="AY21" s="58">
        <v>1.6239838999999999E-2</v>
      </c>
      <c r="AZ21" s="58">
        <v>1.5115627E-2</v>
      </c>
      <c r="BA21" s="58">
        <v>1.4117285E-2</v>
      </c>
      <c r="BB21" s="58">
        <v>1.3225504000000001E-2</v>
      </c>
      <c r="BC21" s="58">
        <v>1.2424924E-2</v>
      </c>
      <c r="BD21" s="58">
        <v>1.1702582E-2</v>
      </c>
    </row>
    <row r="22" spans="1:57" ht="15.75">
      <c r="A22" s="21"/>
      <c r="B22" s="20" t="s">
        <v>63</v>
      </c>
      <c r="C22" s="11">
        <v>7</v>
      </c>
      <c r="D22" s="58">
        <v>1.9224115999999999E-2</v>
      </c>
      <c r="E22" s="58">
        <v>1.9418887999999999E-2</v>
      </c>
      <c r="F22" s="58">
        <v>1.9587642999999998E-2</v>
      </c>
      <c r="G22" s="58">
        <v>1.9741152000000001E-2</v>
      </c>
      <c r="H22" s="58">
        <v>1.9861980000000001E-2</v>
      </c>
      <c r="I22" s="58">
        <v>1.9964394E-2</v>
      </c>
      <c r="J22" s="58">
        <v>2.0030026999999999E-2</v>
      </c>
      <c r="K22" s="58">
        <v>2.0075435999999999E-2</v>
      </c>
      <c r="L22" s="58">
        <v>2.0095089999999999E-2</v>
      </c>
      <c r="M22" s="58">
        <v>2.0059799E-2</v>
      </c>
      <c r="N22" s="58">
        <v>2.0002131999999999E-2</v>
      </c>
      <c r="O22" s="58">
        <v>1.9895049000000001E-2</v>
      </c>
      <c r="P22" s="58">
        <v>1.9746377999999998E-2</v>
      </c>
      <c r="Q22" s="58">
        <v>1.9554495000000002E-2</v>
      </c>
      <c r="R22" s="58">
        <v>1.9216849000000001E-2</v>
      </c>
      <c r="S22" s="58">
        <v>1.8772915000000001E-2</v>
      </c>
      <c r="T22" s="58">
        <v>1.8345229000000001E-2</v>
      </c>
      <c r="U22" s="58">
        <v>1.6787982E-2</v>
      </c>
      <c r="V22" s="58">
        <v>1.5443758E-2</v>
      </c>
      <c r="W22" s="58">
        <v>1.4273927E-2</v>
      </c>
      <c r="X22" s="58">
        <v>1.3247988E-2</v>
      </c>
      <c r="Y22" s="58">
        <v>1.2341845000000001E-2</v>
      </c>
      <c r="Z22" s="58">
        <v>1.1536408999999999E-2</v>
      </c>
      <c r="AA22" s="58">
        <v>1.0816584000000001E-2</v>
      </c>
      <c r="AB22" s="58">
        <v>1.0169653000000001E-2</v>
      </c>
      <c r="AC22" s="58">
        <v>9.5859011000000004E-3</v>
      </c>
      <c r="AE22" s="58">
        <v>2.0905863E-2</v>
      </c>
      <c r="AF22" s="58">
        <v>2.1109097E-2</v>
      </c>
      <c r="AG22" s="58">
        <v>2.1308575E-2</v>
      </c>
      <c r="AH22" s="58">
        <v>2.1483499999999999E-2</v>
      </c>
      <c r="AI22" s="58">
        <v>2.1615899000000001E-2</v>
      </c>
      <c r="AJ22" s="58">
        <v>2.1719562000000001E-2</v>
      </c>
      <c r="AK22" s="58">
        <v>2.1806037E-2</v>
      </c>
      <c r="AL22" s="58">
        <v>2.1845297E-2</v>
      </c>
      <c r="AM22" s="58">
        <v>2.1852091000000001E-2</v>
      </c>
      <c r="AN22" s="58">
        <v>2.1826491999999999E-2</v>
      </c>
      <c r="AO22" s="58">
        <v>2.1735285E-2</v>
      </c>
      <c r="AP22" s="58">
        <v>2.1607153E-2</v>
      </c>
      <c r="AQ22" s="58">
        <v>2.1432100999999999E-2</v>
      </c>
      <c r="AR22" s="58">
        <v>2.1210349999999999E-2</v>
      </c>
      <c r="AS22" s="58">
        <v>2.0841397000000001E-2</v>
      </c>
      <c r="AT22" s="58">
        <v>2.0370932000000001E-2</v>
      </c>
      <c r="AU22" s="58">
        <v>1.9916876999999999E-2</v>
      </c>
      <c r="AV22" s="58">
        <v>1.8258567999999999E-2</v>
      </c>
      <c r="AW22" s="58">
        <v>1.6821777E-2</v>
      </c>
      <c r="AX22" s="58">
        <v>1.5567796E-2</v>
      </c>
      <c r="AY22" s="58">
        <v>1.4465367999999999E-2</v>
      </c>
      <c r="AZ22" s="58">
        <v>1.3489602999999999E-2</v>
      </c>
      <c r="BA22" s="58">
        <v>1.2620800999999999E-2</v>
      </c>
      <c r="BB22" s="58">
        <v>1.1842861999999999E-2</v>
      </c>
      <c r="BC22" s="58">
        <v>1.1142944E-2</v>
      </c>
      <c r="BD22" s="58">
        <v>1.0510132E-2</v>
      </c>
    </row>
    <row r="23" spans="1:57" ht="15.75">
      <c r="A23" s="21" t="s">
        <v>64</v>
      </c>
      <c r="B23" s="20" t="s">
        <v>65</v>
      </c>
      <c r="C23" s="11">
        <v>8</v>
      </c>
      <c r="D23" s="58">
        <v>1.6878279E-2</v>
      </c>
      <c r="E23" s="58">
        <v>1.7059636999999999E-2</v>
      </c>
      <c r="F23" s="58">
        <v>1.721897E-2</v>
      </c>
      <c r="G23" s="58">
        <v>1.7365675000000001E-2</v>
      </c>
      <c r="H23" s="58">
        <v>1.7484522999999998E-2</v>
      </c>
      <c r="I23" s="58">
        <v>1.7587984000000001E-2</v>
      </c>
      <c r="J23" s="58">
        <v>1.7659930000000001E-2</v>
      </c>
      <c r="K23" s="58">
        <v>1.7714883000000001E-2</v>
      </c>
      <c r="L23" s="58">
        <v>1.7747995999999999E-2</v>
      </c>
      <c r="M23" s="58">
        <v>1.7733349999999998E-2</v>
      </c>
      <c r="N23" s="58">
        <v>1.7699735000000001E-2</v>
      </c>
      <c r="O23" s="58">
        <v>1.7623018000000001E-2</v>
      </c>
      <c r="P23" s="58">
        <v>1.7510090999999998E-2</v>
      </c>
      <c r="Q23" s="58">
        <v>1.7359698999999999E-2</v>
      </c>
      <c r="R23" s="58">
        <v>1.7077410000000001E-2</v>
      </c>
      <c r="S23" s="58">
        <v>1.6695090999999999E-2</v>
      </c>
      <c r="T23" s="58">
        <v>1.6326309000000001E-2</v>
      </c>
      <c r="U23" s="58">
        <v>1.4979855E-2</v>
      </c>
      <c r="V23" s="58">
        <v>1.3812935E-2</v>
      </c>
      <c r="W23" s="58">
        <v>1.2793863000000001E-2</v>
      </c>
      <c r="X23" s="58">
        <v>1.1897385E-2</v>
      </c>
      <c r="Y23" s="58">
        <v>1.1103403E-2</v>
      </c>
      <c r="Z23" s="58">
        <v>1.0395901000000001E-2</v>
      </c>
      <c r="AA23" s="58">
        <v>9.7621717000000007E-3</v>
      </c>
      <c r="AB23" s="58">
        <v>9.1914257000000003E-3</v>
      </c>
      <c r="AC23" s="58">
        <v>8.6754372000000003E-3</v>
      </c>
      <c r="AE23" s="58">
        <v>1.8179295000000002E-2</v>
      </c>
      <c r="AF23" s="58">
        <v>1.8368174000000001E-2</v>
      </c>
      <c r="AG23" s="58">
        <v>1.8554569E-2</v>
      </c>
      <c r="AH23" s="58">
        <v>1.8720595E-2</v>
      </c>
      <c r="AI23" s="58">
        <v>1.8850644999999999E-2</v>
      </c>
      <c r="AJ23" s="58">
        <v>1.8956632000000001E-2</v>
      </c>
      <c r="AK23" s="58">
        <v>1.9048598999999999E-2</v>
      </c>
      <c r="AL23" s="58">
        <v>1.9100331000000002E-2</v>
      </c>
      <c r="AM23" s="58">
        <v>1.9124637E-2</v>
      </c>
      <c r="AN23" s="58">
        <v>1.9121545E-2</v>
      </c>
      <c r="AO23" s="58">
        <v>1.9061600000000001E-2</v>
      </c>
      <c r="AP23" s="58">
        <v>1.8969939000000002E-2</v>
      </c>
      <c r="AQ23" s="58">
        <v>1.8837610000000001E-2</v>
      </c>
      <c r="AR23" s="58">
        <v>1.8664962E-2</v>
      </c>
      <c r="AS23" s="58">
        <v>1.8359796000000001E-2</v>
      </c>
      <c r="AT23" s="58">
        <v>1.7959282999999999E-2</v>
      </c>
      <c r="AU23" s="58">
        <v>1.7572213E-2</v>
      </c>
      <c r="AV23" s="58">
        <v>1.6154324000000001E-2</v>
      </c>
      <c r="AW23" s="58">
        <v>1.4920512E-2</v>
      </c>
      <c r="AX23" s="58">
        <v>1.3839627E-2</v>
      </c>
      <c r="AY23" s="58">
        <v>1.2886211999999999E-2</v>
      </c>
      <c r="AZ23" s="58">
        <v>1.2039826E-2</v>
      </c>
      <c r="BA23" s="58">
        <v>1.1284201000000001E-2</v>
      </c>
      <c r="BB23" s="58">
        <v>1.0605946999999999E-2</v>
      </c>
      <c r="BC23" s="58">
        <v>9.9943541999999996E-3</v>
      </c>
      <c r="BD23" s="58">
        <v>9.4402520999999993E-3</v>
      </c>
    </row>
    <row r="24" spans="1:57" ht="15.75">
      <c r="A24" s="21"/>
      <c r="B24" s="20" t="s">
        <v>66</v>
      </c>
      <c r="C24" s="11">
        <v>9</v>
      </c>
      <c r="D24" s="58">
        <v>1.4820797E-2</v>
      </c>
      <c r="E24" s="58">
        <v>1.4989066000000001E-2</v>
      </c>
      <c r="F24" s="58">
        <v>1.5138719E-2</v>
      </c>
      <c r="G24" s="58">
        <v>1.5277959000000001E-2</v>
      </c>
      <c r="H24" s="58">
        <v>1.5393485E-2</v>
      </c>
      <c r="I24" s="58">
        <v>1.5496205000000001E-2</v>
      </c>
      <c r="J24" s="58">
        <v>1.5571959E-2</v>
      </c>
      <c r="K24" s="58">
        <v>1.5633490999999999E-2</v>
      </c>
      <c r="L24" s="58">
        <v>1.5676562000000002E-2</v>
      </c>
      <c r="M24" s="58">
        <v>1.5678167E-2</v>
      </c>
      <c r="N24" s="58">
        <v>1.5663766999999999E-2</v>
      </c>
      <c r="O24" s="58">
        <v>1.5611837E-2</v>
      </c>
      <c r="P24" s="58">
        <v>1.5528462999999999E-2</v>
      </c>
      <c r="Q24" s="58">
        <v>1.5412741000000001E-2</v>
      </c>
      <c r="R24" s="58">
        <v>1.5177784E-2</v>
      </c>
      <c r="S24" s="58">
        <v>1.4848818E-2</v>
      </c>
      <c r="T24" s="58">
        <v>1.4531102000000001E-2</v>
      </c>
      <c r="U24" s="58">
        <v>1.3367843000000001E-2</v>
      </c>
      <c r="V24" s="58">
        <v>1.2355577E-2</v>
      </c>
      <c r="W24" s="58">
        <v>1.1468422000000001E-2</v>
      </c>
      <c r="X24" s="58">
        <v>1.0685546000000001E-2</v>
      </c>
      <c r="Y24" s="58">
        <v>9.9902332000000003E-3</v>
      </c>
      <c r="Z24" s="58">
        <v>9.3690856000000003E-3</v>
      </c>
      <c r="AA24" s="58">
        <v>8.8114309000000002E-3</v>
      </c>
      <c r="AB24" s="58">
        <v>8.3081319999999993E-3</v>
      </c>
      <c r="AC24" s="58">
        <v>7.8522420000000006E-3</v>
      </c>
      <c r="AE24" s="58">
        <v>1.5810853999999999E-2</v>
      </c>
      <c r="AF24" s="58">
        <v>1.5985604E-2</v>
      </c>
      <c r="AG24" s="58">
        <v>1.6158882999999999E-2</v>
      </c>
      <c r="AH24" s="58">
        <v>1.6315311999999998E-2</v>
      </c>
      <c r="AI24" s="58">
        <v>1.6441346999999999E-2</v>
      </c>
      <c r="AJ24" s="58">
        <v>1.6547281E-2</v>
      </c>
      <c r="AK24" s="58">
        <v>1.6641857999999999E-2</v>
      </c>
      <c r="AL24" s="58">
        <v>1.6702201E-2</v>
      </c>
      <c r="AM24" s="58">
        <v>1.6739437999999999E-2</v>
      </c>
      <c r="AN24" s="58">
        <v>1.6753579000000001E-2</v>
      </c>
      <c r="AO24" s="58">
        <v>1.6718514E-2</v>
      </c>
      <c r="AP24" s="58">
        <v>1.6656290000000001E-2</v>
      </c>
      <c r="AQ24" s="58">
        <v>1.6558910999999999E-2</v>
      </c>
      <c r="AR24" s="58">
        <v>1.6426867000000001E-2</v>
      </c>
      <c r="AS24" s="58">
        <v>1.6175660000000001E-2</v>
      </c>
      <c r="AT24" s="58">
        <v>1.5835057999999999E-2</v>
      </c>
      <c r="AU24" s="58">
        <v>1.5505430000000001E-2</v>
      </c>
      <c r="AV24" s="58">
        <v>1.4294263999999999E-2</v>
      </c>
      <c r="AW24" s="58">
        <v>1.323567E-2</v>
      </c>
      <c r="AX24" s="58">
        <v>1.2304717E-2</v>
      </c>
      <c r="AY24" s="58">
        <v>1.1480766999999999E-2</v>
      </c>
      <c r="AZ24" s="58">
        <v>1.0747097000000001E-2</v>
      </c>
      <c r="BA24" s="58">
        <v>1.0090316E-2</v>
      </c>
      <c r="BB24" s="58">
        <v>9.4993192999999997E-3</v>
      </c>
      <c r="BC24" s="58">
        <v>8.9652003000000001E-3</v>
      </c>
      <c r="BD24" s="58">
        <v>8.4802711000000006E-3</v>
      </c>
    </row>
    <row r="25" spans="1:57" ht="15.75">
      <c r="A25" s="21" t="s">
        <v>60</v>
      </c>
      <c r="B25" s="20" t="s">
        <v>67</v>
      </c>
      <c r="C25" s="11">
        <v>10</v>
      </c>
      <c r="D25" s="58">
        <v>1.3016029E-2</v>
      </c>
      <c r="E25" s="58">
        <v>1.3171664E-2</v>
      </c>
      <c r="F25" s="58">
        <v>1.331159E-2</v>
      </c>
      <c r="G25" s="58">
        <v>1.3442973E-2</v>
      </c>
      <c r="H25" s="58">
        <v>1.3554198999999999E-2</v>
      </c>
      <c r="I25" s="58">
        <v>1.3654812000000001E-2</v>
      </c>
      <c r="J25" s="58">
        <v>1.3732387E-2</v>
      </c>
      <c r="K25" s="58">
        <v>1.3798114E-2</v>
      </c>
      <c r="L25" s="58">
        <v>1.3848287000000001E-2</v>
      </c>
      <c r="M25" s="58">
        <v>1.3862502000000001E-2</v>
      </c>
      <c r="N25" s="58">
        <v>1.3863284999999999E-2</v>
      </c>
      <c r="O25" s="58">
        <v>1.3831447E-2</v>
      </c>
      <c r="P25" s="58">
        <v>1.3772382E-2</v>
      </c>
      <c r="Q25" s="58">
        <v>1.3685513E-2</v>
      </c>
      <c r="R25" s="58">
        <v>1.3490960999999999E-2</v>
      </c>
      <c r="S25" s="58">
        <v>1.3208170999999999E-2</v>
      </c>
      <c r="T25" s="58">
        <v>1.2934701E-2</v>
      </c>
      <c r="U25" s="58">
        <v>1.1930573E-2</v>
      </c>
      <c r="V25" s="58">
        <v>1.1053141000000001E-2</v>
      </c>
      <c r="W25" s="58">
        <v>1.0281368000000001E-2</v>
      </c>
      <c r="X25" s="58">
        <v>9.5981389000000007E-3</v>
      </c>
      <c r="Y25" s="58">
        <v>8.9895973000000007E-3</v>
      </c>
      <c r="Z25" s="58">
        <v>8.4445665999999999E-3</v>
      </c>
      <c r="AA25" s="58">
        <v>7.9541096000000002E-3</v>
      </c>
      <c r="AB25" s="58">
        <v>7.5105047999999997E-3</v>
      </c>
      <c r="AC25" s="58">
        <v>7.1079002000000004E-3</v>
      </c>
      <c r="AE25" s="58">
        <v>1.3753249E-2</v>
      </c>
      <c r="AF25" s="58">
        <v>1.3914295E-2</v>
      </c>
      <c r="AG25" s="58">
        <v>1.4074666E-2</v>
      </c>
      <c r="AH25" s="58">
        <v>1.4221143E-2</v>
      </c>
      <c r="AI25" s="58">
        <v>1.4341977000000001E-2</v>
      </c>
      <c r="AJ25" s="58">
        <v>1.4446067E-2</v>
      </c>
      <c r="AK25" s="58">
        <v>1.4541030999999999E-2</v>
      </c>
      <c r="AL25" s="58">
        <v>1.4606911E-2</v>
      </c>
      <c r="AM25" s="58">
        <v>1.4653387E-2</v>
      </c>
      <c r="AN25" s="58">
        <v>1.4680459E-2</v>
      </c>
      <c r="AO25" s="58">
        <v>1.4665002E-2</v>
      </c>
      <c r="AP25" s="58">
        <v>1.4626362E-2</v>
      </c>
      <c r="AQ25" s="58">
        <v>1.4557419E-2</v>
      </c>
      <c r="AR25" s="58">
        <v>1.4458810000000001E-2</v>
      </c>
      <c r="AS25" s="58">
        <v>1.4253165E-2</v>
      </c>
      <c r="AT25" s="58">
        <v>1.3963842000000001E-2</v>
      </c>
      <c r="AU25" s="58">
        <v>1.368344E-2</v>
      </c>
      <c r="AV25" s="58">
        <v>1.2649919000000001E-2</v>
      </c>
      <c r="AW25" s="58">
        <v>1.1742495E-2</v>
      </c>
      <c r="AX25" s="58">
        <v>1.0941348E-2</v>
      </c>
      <c r="AY25" s="58">
        <v>1.0229830000000001E-2</v>
      </c>
      <c r="AZ25" s="58">
        <v>9.5943147999999999E-3</v>
      </c>
      <c r="BA25" s="58">
        <v>9.0238248999999996E-3</v>
      </c>
      <c r="BB25" s="58">
        <v>8.5091791E-3</v>
      </c>
      <c r="BC25" s="58">
        <v>8.0429924000000007E-3</v>
      </c>
      <c r="BD25" s="58">
        <v>7.6188347000000003E-3</v>
      </c>
    </row>
    <row r="26" spans="1:57" ht="15.75">
      <c r="A26" s="21"/>
      <c r="B26" s="20" t="s">
        <v>68</v>
      </c>
      <c r="C26" s="11">
        <v>11</v>
      </c>
      <c r="D26" s="58">
        <v>1.143276E-2</v>
      </c>
      <c r="E26" s="58">
        <v>1.1576305E-2</v>
      </c>
      <c r="F26" s="58">
        <v>1.1706622E-2</v>
      </c>
      <c r="G26" s="58">
        <v>1.1829968E-2</v>
      </c>
      <c r="H26" s="58">
        <v>1.1936208E-2</v>
      </c>
      <c r="I26" s="58">
        <v>1.2033696999999999E-2</v>
      </c>
      <c r="J26" s="58">
        <v>1.2111534E-2</v>
      </c>
      <c r="K26" s="58">
        <v>1.2179550000000001E-2</v>
      </c>
      <c r="L26" s="58">
        <v>1.2234515E-2</v>
      </c>
      <c r="M26" s="58">
        <v>1.2258335E-2</v>
      </c>
      <c r="N26" s="58">
        <v>1.2270947000000001E-2</v>
      </c>
      <c r="O26" s="58">
        <v>1.2255261999999999E-2</v>
      </c>
      <c r="P26" s="58">
        <v>1.2216072999999999E-2</v>
      </c>
      <c r="Q26" s="58">
        <v>1.2153106E-2</v>
      </c>
      <c r="R26" s="58">
        <v>1.1992984E-2</v>
      </c>
      <c r="S26" s="58">
        <v>1.1750132999999999E-2</v>
      </c>
      <c r="T26" s="58">
        <v>1.1514979E-2</v>
      </c>
      <c r="U26" s="58">
        <v>1.0649007E-2</v>
      </c>
      <c r="V26" s="58">
        <v>9.8890738000000002E-3</v>
      </c>
      <c r="W26" s="58">
        <v>9.2181777999999995E-3</v>
      </c>
      <c r="X26" s="58">
        <v>8.6223186999999993E-3</v>
      </c>
      <c r="Y26" s="58">
        <v>8.0900551999999997E-3</v>
      </c>
      <c r="Z26" s="58">
        <v>7.6120941999999999E-3</v>
      </c>
      <c r="AA26" s="58">
        <v>7.1809743000000002E-3</v>
      </c>
      <c r="AB26" s="58">
        <v>6.7901851000000003E-3</v>
      </c>
      <c r="AC26" s="58">
        <v>6.4348112000000004E-3</v>
      </c>
      <c r="AE26" s="58">
        <v>1.1965464E-2</v>
      </c>
      <c r="AF26" s="58">
        <v>1.2113369000000001E-2</v>
      </c>
      <c r="AG26" s="58">
        <v>1.2261217E-2</v>
      </c>
      <c r="AH26" s="58">
        <v>1.2397652E-2</v>
      </c>
      <c r="AI26" s="58">
        <v>1.2512482E-2</v>
      </c>
      <c r="AJ26" s="58">
        <v>1.2613407E-2</v>
      </c>
      <c r="AK26" s="58">
        <v>1.2707070000000001E-2</v>
      </c>
      <c r="AL26" s="58">
        <v>1.2776065E-2</v>
      </c>
      <c r="AM26" s="58">
        <v>1.2828819E-2</v>
      </c>
      <c r="AN26" s="58">
        <v>1.2865336999999999E-2</v>
      </c>
      <c r="AO26" s="58">
        <v>1.2865144E-2</v>
      </c>
      <c r="AP26" s="58">
        <v>1.2845232999999999E-2</v>
      </c>
      <c r="AQ26" s="58">
        <v>1.279928E-2</v>
      </c>
      <c r="AR26" s="58">
        <v>1.2728066999999999E-2</v>
      </c>
      <c r="AS26" s="58">
        <v>1.2560818E-2</v>
      </c>
      <c r="AT26" s="58">
        <v>1.2315354000000001E-2</v>
      </c>
      <c r="AU26" s="58">
        <v>1.2077111E-2</v>
      </c>
      <c r="AV26" s="58">
        <v>1.119615E-2</v>
      </c>
      <c r="AW26" s="58">
        <v>1.0419077000000001E-2</v>
      </c>
      <c r="AX26" s="58">
        <v>9.7302515999999999E-3</v>
      </c>
      <c r="AY26" s="58">
        <v>9.1163252000000007E-3</v>
      </c>
      <c r="AZ26" s="58">
        <v>8.5662485999999996E-3</v>
      </c>
      <c r="BA26" s="58">
        <v>8.0710599999999997E-3</v>
      </c>
      <c r="BB26" s="58">
        <v>7.6231952000000002E-3</v>
      </c>
      <c r="BC26" s="58">
        <v>7.2165520000000002E-3</v>
      </c>
      <c r="BD26" s="58">
        <v>6.8457661999999997E-3</v>
      </c>
    </row>
    <row r="27" spans="1:57" ht="14.25">
      <c r="A27" s="21" t="s">
        <v>69</v>
      </c>
      <c r="B27" s="28" t="s">
        <v>70</v>
      </c>
      <c r="C27" s="20"/>
      <c r="D27" s="71">
        <f t="shared" ref="D27:AC27" si="5">SUM(D20:D26)</f>
        <v>0.12222040199999999</v>
      </c>
      <c r="E27" s="71">
        <f t="shared" si="5"/>
        <v>0.123494125</v>
      </c>
      <c r="F27" s="71">
        <f t="shared" si="5"/>
        <v>0.12460542799999999</v>
      </c>
      <c r="G27" s="71">
        <f t="shared" si="5"/>
        <v>0.12562261399999999</v>
      </c>
      <c r="H27" s="71">
        <f t="shared" si="5"/>
        <v>0.126435193</v>
      </c>
      <c r="I27" s="71">
        <f t="shared" si="5"/>
        <v>0.127133723</v>
      </c>
      <c r="J27" s="71">
        <f t="shared" si="5"/>
        <v>0.12760153300000002</v>
      </c>
      <c r="K27" s="71">
        <f t="shared" si="5"/>
        <v>0.127943898</v>
      </c>
      <c r="L27" s="71">
        <f t="shared" si="5"/>
        <v>0.12812581200000001</v>
      </c>
      <c r="M27" s="71">
        <f t="shared" si="5"/>
        <v>0.12796081500000001</v>
      </c>
      <c r="N27" s="71">
        <f t="shared" si="5"/>
        <v>0.127656784</v>
      </c>
      <c r="O27" s="71">
        <f t="shared" si="5"/>
        <v>0.12704058600000001</v>
      </c>
      <c r="P27" s="71">
        <f t="shared" si="5"/>
        <v>0.12616232399999999</v>
      </c>
      <c r="Q27" s="71">
        <f t="shared" si="5"/>
        <v>0.12501294100000002</v>
      </c>
      <c r="R27" s="71">
        <f t="shared" si="5"/>
        <v>0.12292340399999999</v>
      </c>
      <c r="S27" s="71">
        <f t="shared" si="5"/>
        <v>0.120130402</v>
      </c>
      <c r="T27" s="71">
        <f t="shared" si="5"/>
        <v>0.11743813399999999</v>
      </c>
      <c r="U27" s="71">
        <f t="shared" si="5"/>
        <v>0.10762303100000001</v>
      </c>
      <c r="V27" s="71">
        <f t="shared" si="5"/>
        <v>9.913468780000001E-2</v>
      </c>
      <c r="W27" s="71">
        <f t="shared" si="5"/>
        <v>9.1735187800000006E-2</v>
      </c>
      <c r="X27" s="71">
        <f t="shared" si="5"/>
        <v>8.5236015599999992E-2</v>
      </c>
      <c r="Y27" s="71">
        <f t="shared" si="5"/>
        <v>7.9487808699999996E-2</v>
      </c>
      <c r="Z27" s="71">
        <f t="shared" si="5"/>
        <v>7.4371949399999998E-2</v>
      </c>
      <c r="AA27" s="71">
        <f t="shared" si="5"/>
        <v>6.9794520499999999E-2</v>
      </c>
      <c r="AB27" s="71">
        <f t="shared" si="5"/>
        <v>6.5676115600000001E-2</v>
      </c>
      <c r="AC27" s="71">
        <f t="shared" si="5"/>
        <v>6.195615170000001E-2</v>
      </c>
      <c r="AD27" s="70"/>
      <c r="AE27" s="71">
        <f t="shared" ref="AE27:BD27" si="6">SUM(AE20:AE26)</f>
        <v>0.13231963099999999</v>
      </c>
      <c r="AF27" s="71">
        <f t="shared" si="6"/>
        <v>0.13364445400000002</v>
      </c>
      <c r="AG27" s="71">
        <f t="shared" si="6"/>
        <v>0.134948188</v>
      </c>
      <c r="AH27" s="71">
        <f t="shared" si="6"/>
        <v>0.13609992700000001</v>
      </c>
      <c r="AI27" s="71">
        <f t="shared" si="6"/>
        <v>0.136986093</v>
      </c>
      <c r="AJ27" s="71">
        <f t="shared" si="6"/>
        <v>0.13769378399999999</v>
      </c>
      <c r="AK27" s="71">
        <f t="shared" si="6"/>
        <v>0.13829617599999999</v>
      </c>
      <c r="AL27" s="71">
        <f t="shared" si="6"/>
        <v>0.13860304400000001</v>
      </c>
      <c r="AM27" s="71">
        <f t="shared" si="6"/>
        <v>0.13870779599999999</v>
      </c>
      <c r="AN27" s="71">
        <f t="shared" si="6"/>
        <v>0.13861094300000001</v>
      </c>
      <c r="AO27" s="71">
        <f t="shared" si="6"/>
        <v>0.13810051300000001</v>
      </c>
      <c r="AP27" s="71">
        <f t="shared" si="6"/>
        <v>0.13735888100000002</v>
      </c>
      <c r="AQ27" s="71">
        <f t="shared" si="6"/>
        <v>0.13632218200000001</v>
      </c>
      <c r="AR27" s="71">
        <f t="shared" si="6"/>
        <v>0.134993054</v>
      </c>
      <c r="AS27" s="71">
        <f t="shared" si="6"/>
        <v>0.132717643</v>
      </c>
      <c r="AT27" s="71">
        <f t="shared" si="6"/>
        <v>0.12977191199999999</v>
      </c>
      <c r="AU27" s="71">
        <f t="shared" si="6"/>
        <v>0.126927336</v>
      </c>
      <c r="AV27" s="71">
        <f t="shared" si="6"/>
        <v>0.116525328</v>
      </c>
      <c r="AW27" s="71">
        <f t="shared" si="6"/>
        <v>0.107496016</v>
      </c>
      <c r="AX27" s="71">
        <f t="shared" si="6"/>
        <v>9.9602390600000007E-2</v>
      </c>
      <c r="AY27" s="71">
        <f t="shared" si="6"/>
        <v>9.2652267199999999E-2</v>
      </c>
      <c r="AZ27" s="71">
        <f t="shared" si="6"/>
        <v>8.6492170400000012E-2</v>
      </c>
      <c r="BA27" s="71">
        <f t="shared" si="6"/>
        <v>8.1000385900000013E-2</v>
      </c>
      <c r="BB27" s="71">
        <f t="shared" si="6"/>
        <v>7.60771586E-2</v>
      </c>
      <c r="BC27" s="71">
        <f t="shared" si="6"/>
        <v>7.1642854900000011E-2</v>
      </c>
      <c r="BD27" s="71">
        <f t="shared" si="6"/>
        <v>6.7629574099999992E-2</v>
      </c>
      <c r="BE27" s="70"/>
    </row>
    <row r="28" spans="1:57">
      <c r="A28" s="21"/>
      <c r="B28" s="20"/>
      <c r="C28" s="20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  <c r="Q28" s="71"/>
      <c r="R28" s="71"/>
      <c r="S28" s="71"/>
      <c r="T28" s="71"/>
      <c r="U28" s="71"/>
      <c r="V28" s="71"/>
      <c r="W28" s="71"/>
      <c r="X28" s="71"/>
      <c r="Y28" s="71"/>
      <c r="Z28" s="71"/>
      <c r="AA28" s="71"/>
      <c r="AB28" s="71"/>
      <c r="AC28" s="71"/>
      <c r="AD28" s="70"/>
      <c r="AE28" s="71"/>
      <c r="AF28" s="71"/>
      <c r="AG28" s="71"/>
      <c r="AH28" s="71"/>
      <c r="AI28" s="71"/>
      <c r="AJ28" s="71"/>
      <c r="AK28" s="71"/>
      <c r="AL28" s="71"/>
      <c r="AM28" s="71"/>
      <c r="AN28" s="71"/>
      <c r="AO28" s="71"/>
      <c r="AP28" s="71"/>
      <c r="AQ28" s="71"/>
      <c r="AR28" s="71"/>
      <c r="AS28" s="71"/>
      <c r="AT28" s="71"/>
      <c r="AU28" s="71"/>
      <c r="AV28" s="71"/>
      <c r="AW28" s="71"/>
      <c r="AX28" s="71"/>
      <c r="AY28" s="71"/>
      <c r="AZ28" s="71"/>
      <c r="BA28" s="71"/>
      <c r="BB28" s="71"/>
      <c r="BC28" s="71"/>
      <c r="BD28" s="71"/>
      <c r="BE28" s="70"/>
    </row>
    <row r="29" spans="1:57" ht="15.75">
      <c r="A29" s="23" t="s">
        <v>71</v>
      </c>
      <c r="B29" s="20" t="s">
        <v>72</v>
      </c>
      <c r="C29" s="20"/>
      <c r="D29" s="72">
        <v>0.1230324</v>
      </c>
      <c r="E29" s="72">
        <v>0.12511457000000001</v>
      </c>
      <c r="F29" s="72">
        <v>0.12710729000000001</v>
      </c>
      <c r="G29" s="72">
        <v>0.12907589999999999</v>
      </c>
      <c r="H29" s="72">
        <v>0.13092253000000001</v>
      </c>
      <c r="I29" s="72">
        <v>0.13273608000000001</v>
      </c>
      <c r="J29" s="72">
        <v>0.13440837</v>
      </c>
      <c r="K29" s="72">
        <v>0.13604833</v>
      </c>
      <c r="L29" s="72">
        <v>0.13763226000000001</v>
      </c>
      <c r="M29" s="72">
        <v>0.13896505000000001</v>
      </c>
      <c r="N29" s="72">
        <v>0.14028360000000001</v>
      </c>
      <c r="O29" s="72">
        <v>0.14140548</v>
      </c>
      <c r="P29" s="72">
        <v>0.14242077</v>
      </c>
      <c r="Q29" s="72">
        <v>0.14344851</v>
      </c>
      <c r="R29" s="72">
        <v>0.14346062000000001</v>
      </c>
      <c r="S29" s="72">
        <v>0.14158708</v>
      </c>
      <c r="T29" s="72">
        <v>0.13975992000000001</v>
      </c>
      <c r="U29" s="72">
        <v>0.13289395000000001</v>
      </c>
      <c r="V29" s="72">
        <v>0.12666981999999999</v>
      </c>
      <c r="W29" s="72">
        <v>0.12100674</v>
      </c>
      <c r="X29" s="72">
        <v>0.11583464</v>
      </c>
      <c r="Y29" s="72">
        <v>0.11109397999999999</v>
      </c>
      <c r="Z29" s="72">
        <v>0.10673386999999999</v>
      </c>
      <c r="AA29" s="72">
        <v>0.10271010999999999</v>
      </c>
      <c r="AB29" s="72">
        <v>9.8986348000000002E-2</v>
      </c>
      <c r="AC29" s="72">
        <v>9.5529094999999994E-2</v>
      </c>
      <c r="AD29" s="70"/>
      <c r="AE29" s="72">
        <v>0.11997223</v>
      </c>
      <c r="AF29" s="72">
        <v>0.12193933999999999</v>
      </c>
      <c r="AG29" s="72">
        <v>0.12394341</v>
      </c>
      <c r="AH29" s="72">
        <v>0.12588462</v>
      </c>
      <c r="AI29" s="72">
        <v>0.12766902999999999</v>
      </c>
      <c r="AJ29" s="72">
        <v>0.12937282</v>
      </c>
      <c r="AK29" s="72">
        <v>0.13106656999999999</v>
      </c>
      <c r="AL29" s="72">
        <v>0.13258375999999999</v>
      </c>
      <c r="AM29" s="72">
        <v>0.13401450000000001</v>
      </c>
      <c r="AN29" s="72">
        <v>0.13536956999999999</v>
      </c>
      <c r="AO29" s="72">
        <v>0.13643390999999999</v>
      </c>
      <c r="AP29" s="72">
        <v>0.13740377000000001</v>
      </c>
      <c r="AQ29" s="72">
        <v>0.13823732</v>
      </c>
      <c r="AR29" s="72">
        <v>0.13904762000000001</v>
      </c>
      <c r="AS29" s="72">
        <v>0.13890627</v>
      </c>
      <c r="AT29" s="72">
        <v>0.13712115999999999</v>
      </c>
      <c r="AU29" s="72">
        <v>0.13537713000000001</v>
      </c>
      <c r="AV29" s="72">
        <v>0.12881076</v>
      </c>
      <c r="AW29" s="72">
        <v>0.12284788000000001</v>
      </c>
      <c r="AX29" s="72">
        <v>0.1174168</v>
      </c>
      <c r="AY29" s="72">
        <v>0.11245301000000001</v>
      </c>
      <c r="AZ29" s="72">
        <v>0.10790073</v>
      </c>
      <c r="BA29" s="72">
        <v>0.10371144</v>
      </c>
      <c r="BB29" s="72">
        <v>9.9844203000000006E-2</v>
      </c>
      <c r="BC29" s="72">
        <v>9.6263023000000003E-2</v>
      </c>
      <c r="BD29" s="72">
        <v>9.2938015999999998E-2</v>
      </c>
      <c r="BE29" s="70"/>
    </row>
    <row r="30" spans="1:57">
      <c r="A30" s="51"/>
      <c r="B30" s="20"/>
      <c r="C30" s="20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  <c r="Q30" s="71"/>
      <c r="R30" s="71"/>
      <c r="S30" s="71"/>
      <c r="T30" s="71"/>
      <c r="U30" s="71"/>
      <c r="V30" s="71"/>
      <c r="W30" s="71"/>
      <c r="X30" s="71"/>
      <c r="Y30" s="71"/>
      <c r="Z30" s="71"/>
      <c r="AA30" s="71"/>
      <c r="AB30" s="71"/>
      <c r="AC30" s="71"/>
      <c r="AD30" s="70"/>
      <c r="AE30" s="71"/>
      <c r="AF30" s="71"/>
      <c r="AG30" s="71"/>
      <c r="AH30" s="71"/>
      <c r="AI30" s="71"/>
      <c r="AJ30" s="71"/>
      <c r="AK30" s="71"/>
      <c r="AL30" s="71"/>
      <c r="AM30" s="71"/>
      <c r="AN30" s="71"/>
      <c r="AO30" s="71"/>
      <c r="AP30" s="71"/>
      <c r="AQ30" s="71"/>
      <c r="AR30" s="71"/>
      <c r="AS30" s="71"/>
      <c r="AT30" s="71"/>
      <c r="AU30" s="71"/>
      <c r="AV30" s="71"/>
      <c r="AW30" s="71"/>
      <c r="AX30" s="71"/>
      <c r="AY30" s="71"/>
      <c r="AZ30" s="71"/>
      <c r="BA30" s="71"/>
      <c r="BB30" s="71"/>
      <c r="BC30" s="71"/>
      <c r="BD30" s="71"/>
      <c r="BE30" s="70"/>
    </row>
    <row r="31" spans="1:57" ht="15.75">
      <c r="A31" s="32"/>
      <c r="B31" s="33" t="s">
        <v>73</v>
      </c>
      <c r="C31" s="33"/>
      <c r="D31" s="73">
        <f t="shared" ref="D31:AC31" si="7">SUM(D15:D18)+D27+D29</f>
        <v>4.3412088499999992</v>
      </c>
      <c r="E31" s="73">
        <f t="shared" si="7"/>
        <v>4.2626107749999997</v>
      </c>
      <c r="F31" s="73">
        <f t="shared" si="7"/>
        <v>4.187867099</v>
      </c>
      <c r="G31" s="73">
        <f t="shared" si="7"/>
        <v>4.1158574569999997</v>
      </c>
      <c r="H31" s="73">
        <f t="shared" si="7"/>
        <v>4.0475128413700006</v>
      </c>
      <c r="I31" s="73">
        <f t="shared" si="7"/>
        <v>3.9815919019999999</v>
      </c>
      <c r="J31" s="73">
        <f t="shared" si="7"/>
        <v>3.9188049191600003</v>
      </c>
      <c r="K31" s="73">
        <f t="shared" si="7"/>
        <v>3.8584548875399998</v>
      </c>
      <c r="L31" s="73">
        <f t="shared" si="7"/>
        <v>3.8004092310000002</v>
      </c>
      <c r="M31" s="73">
        <f t="shared" si="7"/>
        <v>3.7444677674900002</v>
      </c>
      <c r="N31" s="73">
        <f t="shared" si="7"/>
        <v>3.6906715933100003</v>
      </c>
      <c r="O31" s="73">
        <f t="shared" si="7"/>
        <v>3.6384394219930001</v>
      </c>
      <c r="P31" s="73">
        <f t="shared" si="7"/>
        <v>3.5878172580000007</v>
      </c>
      <c r="Q31" s="73">
        <f t="shared" si="7"/>
        <v>3.5389925588999995</v>
      </c>
      <c r="R31" s="73">
        <f t="shared" si="7"/>
        <v>3.5571933560546518</v>
      </c>
      <c r="S31" s="73">
        <f t="shared" si="7"/>
        <v>3.6585502844299387</v>
      </c>
      <c r="T31" s="73">
        <f t="shared" si="7"/>
        <v>3.7569549128825228</v>
      </c>
      <c r="U31" s="73">
        <f t="shared" si="7"/>
        <v>4.1224632102585774</v>
      </c>
      <c r="V31" s="73">
        <f t="shared" si="7"/>
        <v>4.4479835729158443</v>
      </c>
      <c r="W31" s="73">
        <f t="shared" si="7"/>
        <v>4.739540802152697</v>
      </c>
      <c r="X31" s="73">
        <f t="shared" si="7"/>
        <v>5.0021148776926454</v>
      </c>
      <c r="Y31" s="73">
        <f t="shared" si="7"/>
        <v>5.2397885831926665</v>
      </c>
      <c r="Z31" s="73">
        <f t="shared" si="7"/>
        <v>5.4559255916679383</v>
      </c>
      <c r="AA31" s="73">
        <f t="shared" si="7"/>
        <v>5.6533157049488256</v>
      </c>
      <c r="AB31" s="73">
        <f t="shared" si="7"/>
        <v>5.8342900128384096</v>
      </c>
      <c r="AC31" s="73">
        <f t="shared" si="7"/>
        <v>6.0008106553113789</v>
      </c>
      <c r="AD31" s="70"/>
      <c r="AE31" s="73">
        <f t="shared" ref="AE31:BD31" si="8">SUM(AE15:AE18)+AE27+AE29</f>
        <v>4.2979264110000006</v>
      </c>
      <c r="AF31" s="73">
        <f t="shared" si="8"/>
        <v>4.2221635959899997</v>
      </c>
      <c r="AG31" s="73">
        <f t="shared" si="8"/>
        <v>4.1498710458399994</v>
      </c>
      <c r="AH31" s="73">
        <f t="shared" si="8"/>
        <v>4.0806018970000002</v>
      </c>
      <c r="AI31" s="73">
        <f t="shared" si="8"/>
        <v>4.0155310165499998</v>
      </c>
      <c r="AJ31" s="73">
        <f t="shared" si="8"/>
        <v>3.9529928868099997</v>
      </c>
      <c r="AK31" s="73">
        <f t="shared" si="8"/>
        <v>3.8932468870000001</v>
      </c>
      <c r="AL31" s="73">
        <f t="shared" si="8"/>
        <v>3.8367536159100002</v>
      </c>
      <c r="AM31" s="73">
        <f t="shared" si="8"/>
        <v>3.7823928056899998</v>
      </c>
      <c r="AN31" s="73">
        <f t="shared" si="8"/>
        <v>3.730233857</v>
      </c>
      <c r="AO31" s="73">
        <f t="shared" si="8"/>
        <v>3.67992613438</v>
      </c>
      <c r="AP31" s="73">
        <f t="shared" si="8"/>
        <v>3.6313577253100005</v>
      </c>
      <c r="AQ31" s="73">
        <f t="shared" si="8"/>
        <v>3.5842389610000005</v>
      </c>
      <c r="AR31" s="73">
        <f t="shared" si="8"/>
        <v>3.5388106159999997</v>
      </c>
      <c r="AS31" s="73">
        <f t="shared" si="8"/>
        <v>3.5643093168339304</v>
      </c>
      <c r="AT31" s="73">
        <f t="shared" si="8"/>
        <v>3.6648427924989018</v>
      </c>
      <c r="AU31" s="73">
        <f t="shared" si="8"/>
        <v>3.7626007456628972</v>
      </c>
      <c r="AV31" s="73">
        <f t="shared" si="8"/>
        <v>4.1263566132359459</v>
      </c>
      <c r="AW31" s="73">
        <f t="shared" si="8"/>
        <v>4.4508235347148632</v>
      </c>
      <c r="AX31" s="73">
        <f t="shared" si="8"/>
        <v>4.7416879307980109</v>
      </c>
      <c r="AY31" s="73">
        <f t="shared" si="8"/>
        <v>5.0037823033820521</v>
      </c>
      <c r="AZ31" s="73">
        <f t="shared" si="8"/>
        <v>5.2411113974018742</v>
      </c>
      <c r="BA31" s="73">
        <f t="shared" si="8"/>
        <v>5.4569936485614283</v>
      </c>
      <c r="BB31" s="73">
        <f t="shared" si="8"/>
        <v>5.654191146904469</v>
      </c>
      <c r="BC31" s="73">
        <f t="shared" si="8"/>
        <v>5.8350168262259903</v>
      </c>
      <c r="BD31" s="73">
        <f t="shared" si="8"/>
        <v>6.0014209134829217</v>
      </c>
      <c r="BE31" s="70"/>
    </row>
    <row r="32" spans="1:57">
      <c r="A32" s="35"/>
      <c r="B32" s="33"/>
      <c r="C32" s="33"/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  <c r="Q32" s="52"/>
      <c r="R32" s="52"/>
      <c r="S32" s="52"/>
      <c r="T32" s="52"/>
      <c r="U32" s="52"/>
      <c r="V32" s="52"/>
      <c r="W32" s="52"/>
      <c r="X32" s="52"/>
      <c r="Y32" s="52"/>
      <c r="Z32" s="52"/>
      <c r="AA32" s="52"/>
      <c r="AB32" s="52"/>
      <c r="AC32" s="52"/>
      <c r="AE32" s="52"/>
      <c r="AF32" s="52"/>
      <c r="AG32" s="52"/>
      <c r="AH32" s="52"/>
      <c r="AI32" s="52"/>
      <c r="AJ32" s="52"/>
      <c r="AK32" s="52"/>
      <c r="AL32" s="52"/>
      <c r="AM32" s="52"/>
      <c r="AN32" s="52"/>
      <c r="AO32" s="52"/>
      <c r="AP32" s="52"/>
      <c r="AQ32" s="52"/>
      <c r="AR32" s="52"/>
      <c r="AS32" s="52"/>
      <c r="AT32" s="52"/>
      <c r="AU32" s="52"/>
      <c r="AV32" s="52"/>
      <c r="AW32" s="52"/>
      <c r="AX32" s="52"/>
      <c r="AY32" s="52"/>
      <c r="AZ32" s="52"/>
      <c r="BA32" s="52"/>
      <c r="BB32" s="52"/>
      <c r="BC32" s="52"/>
      <c r="BD32" s="52"/>
    </row>
    <row r="33" spans="1:56">
      <c r="A33" s="1" t="s">
        <v>74</v>
      </c>
      <c r="B33" s="1"/>
      <c r="C33" s="45"/>
      <c r="D33" s="45"/>
      <c r="E33" s="53"/>
      <c r="F33" s="53"/>
      <c r="G33" s="53"/>
      <c r="H33" s="53"/>
      <c r="I33" s="53"/>
      <c r="J33" s="53"/>
      <c r="K33" s="53"/>
      <c r="L33" s="53"/>
      <c r="M33" s="53"/>
      <c r="N33" s="53"/>
      <c r="O33" s="53"/>
      <c r="P33" s="53"/>
      <c r="Q33" s="53"/>
      <c r="R33" s="53"/>
      <c r="S33" s="53"/>
      <c r="T33" s="53"/>
      <c r="U33" s="53"/>
      <c r="V33" s="53"/>
      <c r="W33" s="53"/>
      <c r="X33" s="53"/>
      <c r="Y33" s="53"/>
      <c r="Z33" s="53"/>
      <c r="AA33" s="53"/>
      <c r="AB33" s="53"/>
      <c r="AC33" s="53"/>
      <c r="AE33" s="45"/>
      <c r="AF33" s="53"/>
      <c r="AG33" s="53"/>
      <c r="AH33" s="53"/>
      <c r="AI33" s="53"/>
      <c r="AJ33" s="53"/>
      <c r="AK33" s="53"/>
      <c r="AL33" s="53"/>
      <c r="AM33" s="53"/>
      <c r="AN33" s="53"/>
      <c r="AO33" s="53"/>
      <c r="AP33" s="53"/>
      <c r="AQ33" s="53"/>
      <c r="AR33" s="53"/>
      <c r="AS33" s="53"/>
      <c r="AT33" s="53"/>
      <c r="AU33" s="53"/>
      <c r="AV33" s="53"/>
      <c r="AW33" s="53"/>
      <c r="AX33" s="53"/>
      <c r="AY33" s="53"/>
      <c r="AZ33" s="53"/>
      <c r="BA33" s="53"/>
      <c r="BB33" s="53"/>
      <c r="BC33" s="53"/>
      <c r="BD33" s="53"/>
    </row>
    <row r="34" spans="1:56" ht="15.75">
      <c r="A34" s="45"/>
      <c r="B34" s="20" t="s">
        <v>83</v>
      </c>
      <c r="C34" s="45"/>
      <c r="D34" s="54">
        <f t="shared" ref="D34:AC34" si="9">(D4*D9 - D15)/(D4*D9)</f>
        <v>0.7090255120000003</v>
      </c>
      <c r="E34" s="54">
        <f t="shared" si="9"/>
        <v>0.73361103449999998</v>
      </c>
      <c r="F34" s="54">
        <f t="shared" si="9"/>
        <v>0.75785155250000003</v>
      </c>
      <c r="G34" s="54">
        <f t="shared" si="9"/>
        <v>0.78210217105000002</v>
      </c>
      <c r="H34" s="54">
        <f t="shared" si="9"/>
        <v>0.80572312499999998</v>
      </c>
      <c r="I34" s="54">
        <f t="shared" si="9"/>
        <v>0.82921859819999999</v>
      </c>
      <c r="J34" s="54">
        <f t="shared" si="9"/>
        <v>0.85186791280000007</v>
      </c>
      <c r="K34" s="54">
        <f t="shared" si="9"/>
        <v>0.87429362524999998</v>
      </c>
      <c r="L34" s="54">
        <f t="shared" si="9"/>
        <v>0.89629856159999988</v>
      </c>
      <c r="M34" s="54">
        <f t="shared" si="9"/>
        <v>0.91661864725000008</v>
      </c>
      <c r="N34" s="54">
        <f t="shared" si="9"/>
        <v>0.93663713729999998</v>
      </c>
      <c r="O34" s="40">
        <f t="shared" si="9"/>
        <v>0.95517001229999998</v>
      </c>
      <c r="P34" s="40">
        <f t="shared" si="9"/>
        <v>0.97266256509999993</v>
      </c>
      <c r="Q34" s="40">
        <f t="shared" si="9"/>
        <v>0.98960676571000006</v>
      </c>
      <c r="R34" s="54">
        <f t="shared" si="9"/>
        <v>0.99999999669705797</v>
      </c>
      <c r="S34" s="54">
        <f t="shared" si="9"/>
        <v>0.99999999454106925</v>
      </c>
      <c r="T34" s="54">
        <f t="shared" si="9"/>
        <v>0.99999999360559255</v>
      </c>
      <c r="U34" s="54">
        <f t="shared" si="9"/>
        <v>0.99999999311208376</v>
      </c>
      <c r="V34" s="54">
        <f t="shared" si="9"/>
        <v>0.99999999391029659</v>
      </c>
      <c r="W34" s="54">
        <f t="shared" si="9"/>
        <v>0.9999999948119751</v>
      </c>
      <c r="X34" s="54">
        <f t="shared" si="9"/>
        <v>0.99999999560294128</v>
      </c>
      <c r="Y34" s="54">
        <f t="shared" si="9"/>
        <v>0.99999999625667968</v>
      </c>
      <c r="Z34" s="54">
        <f t="shared" si="9"/>
        <v>0.99999999678890694</v>
      </c>
      <c r="AA34" s="54">
        <f t="shared" si="9"/>
        <v>0.99999999722214028</v>
      </c>
      <c r="AB34" s="54">
        <f t="shared" si="9"/>
        <v>0.99999999757676339</v>
      </c>
      <c r="AC34" s="54">
        <f t="shared" si="9"/>
        <v>0.99999999786931038</v>
      </c>
      <c r="AE34" s="54">
        <f t="shared" ref="AE34:BD34" si="10">(AE4*AE9 - AE15)/(AE4*AE9)</f>
        <v>0.72633196000000011</v>
      </c>
      <c r="AF34" s="54">
        <f t="shared" si="10"/>
        <v>0.75036322799999988</v>
      </c>
      <c r="AG34" s="54">
        <f t="shared" si="10"/>
        <v>0.77469198250000004</v>
      </c>
      <c r="AH34" s="54">
        <f t="shared" si="10"/>
        <v>0.79869673210000003</v>
      </c>
      <c r="AI34" s="54">
        <f t="shared" si="10"/>
        <v>0.82173593480000029</v>
      </c>
      <c r="AJ34" s="54">
        <f t="shared" si="10"/>
        <v>0.84424379875000011</v>
      </c>
      <c r="AK34" s="54">
        <f t="shared" si="10"/>
        <v>0.86659309449999999</v>
      </c>
      <c r="AL34" s="54">
        <f t="shared" si="10"/>
        <v>0.88768918050000001</v>
      </c>
      <c r="AM34" s="54">
        <f t="shared" si="10"/>
        <v>0.90805440920000002</v>
      </c>
      <c r="AN34" s="54">
        <f t="shared" si="10"/>
        <v>0.92768334190000001</v>
      </c>
      <c r="AO34" s="54">
        <f t="shared" si="10"/>
        <v>0.94520612110000002</v>
      </c>
      <c r="AP34" s="40">
        <f t="shared" si="10"/>
        <v>0.96175220274999995</v>
      </c>
      <c r="AQ34" s="40">
        <f t="shared" si="10"/>
        <v>0.97699310949999996</v>
      </c>
      <c r="AR34" s="40">
        <f t="shared" si="10"/>
        <v>0.99141370100000004</v>
      </c>
      <c r="AS34" s="54">
        <f t="shared" si="10"/>
        <v>0.9999999895734818</v>
      </c>
      <c r="AT34" s="54">
        <f t="shared" si="10"/>
        <v>0.99999998336834584</v>
      </c>
      <c r="AU34" s="54">
        <f t="shared" si="10"/>
        <v>0.99999998071587304</v>
      </c>
      <c r="AV34" s="54">
        <f t="shared" si="10"/>
        <v>0.99999997965577836</v>
      </c>
      <c r="AW34" s="54">
        <f t="shared" si="10"/>
        <v>0.99999998228264941</v>
      </c>
      <c r="AX34" s="54">
        <f t="shared" si="10"/>
        <v>0.99999998510475618</v>
      </c>
      <c r="AY34" s="54">
        <f t="shared" si="10"/>
        <v>0.99999998752717956</v>
      </c>
      <c r="AZ34" s="54">
        <f t="shared" si="10"/>
        <v>0.99999998949921254</v>
      </c>
      <c r="BA34" s="54">
        <f t="shared" si="10"/>
        <v>0.99999999108497162</v>
      </c>
      <c r="BB34" s="54">
        <f t="shared" si="10"/>
        <v>0.99999999236194426</v>
      </c>
      <c r="BC34" s="54">
        <f t="shared" si="10"/>
        <v>0.99999999339712431</v>
      </c>
      <c r="BD34" s="54">
        <f t="shared" si="10"/>
        <v>0.99999999424353903</v>
      </c>
    </row>
    <row r="35" spans="1:56">
      <c r="A35" s="45"/>
      <c r="B35" s="45"/>
      <c r="C35" s="45"/>
      <c r="D35" s="53"/>
      <c r="E35" s="53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  <c r="Q35" s="53"/>
      <c r="R35" s="53"/>
      <c r="S35" s="53"/>
      <c r="T35" s="53"/>
      <c r="U35" s="53"/>
      <c r="V35" s="53"/>
      <c r="W35" s="53"/>
      <c r="X35" s="53"/>
      <c r="Y35" s="53"/>
      <c r="Z35" s="53"/>
      <c r="AA35" s="53"/>
      <c r="AB35" s="53"/>
      <c r="AC35" s="53"/>
      <c r="AE35" s="53"/>
      <c r="AF35" s="53"/>
      <c r="AG35" s="53"/>
      <c r="AH35" s="53"/>
      <c r="AI35" s="53"/>
      <c r="AJ35" s="53"/>
      <c r="AK35" s="53"/>
      <c r="AL35" s="53"/>
      <c r="AM35" s="53"/>
      <c r="AN35" s="53"/>
      <c r="AO35" s="53"/>
      <c r="AP35" s="53"/>
      <c r="AQ35" s="53"/>
      <c r="AR35" s="53"/>
      <c r="AS35" s="53"/>
      <c r="AT35" s="53"/>
      <c r="AU35" s="53"/>
      <c r="AV35" s="53"/>
      <c r="AW35" s="53"/>
      <c r="AX35" s="53"/>
      <c r="AY35" s="53"/>
      <c r="AZ35" s="53"/>
      <c r="BA35" s="53"/>
      <c r="BB35" s="53"/>
      <c r="BC35" s="53"/>
      <c r="BD35" s="53"/>
    </row>
    <row r="36" spans="1:56" ht="15.75">
      <c r="A36" s="45"/>
      <c r="B36" s="45" t="s">
        <v>76</v>
      </c>
      <c r="C36" s="45"/>
      <c r="D36" s="69">
        <f t="shared" ref="D36:AC36" si="11">D29/D27</f>
        <v>1.0066437189430943</v>
      </c>
      <c r="E36" s="69">
        <f t="shared" si="11"/>
        <v>1.0131216363531466</v>
      </c>
      <c r="F36" s="69">
        <f t="shared" si="11"/>
        <v>1.020078274599723</v>
      </c>
      <c r="G36" s="69">
        <f t="shared" si="11"/>
        <v>1.0274893658875781</v>
      </c>
      <c r="H36" s="69">
        <f t="shared" si="11"/>
        <v>1.0354912022003242</v>
      </c>
      <c r="I36" s="69">
        <f t="shared" si="11"/>
        <v>1.0440666478397711</v>
      </c>
      <c r="J36" s="69">
        <f t="shared" si="11"/>
        <v>1.0533444766686304</v>
      </c>
      <c r="K36" s="69">
        <f t="shared" si="11"/>
        <v>1.0633436383187262</v>
      </c>
      <c r="L36" s="69">
        <f t="shared" si="11"/>
        <v>1.07419619709415</v>
      </c>
      <c r="M36" s="69">
        <f t="shared" si="11"/>
        <v>1.0859969124141637</v>
      </c>
      <c r="N36" s="69">
        <f t="shared" si="11"/>
        <v>1.0989122207559294</v>
      </c>
      <c r="O36" s="69">
        <f t="shared" si="11"/>
        <v>1.1130732662080132</v>
      </c>
      <c r="P36" s="69">
        <f t="shared" si="11"/>
        <v>1.1288692652808141</v>
      </c>
      <c r="Q36" s="69">
        <f t="shared" si="11"/>
        <v>1.1474692847998831</v>
      </c>
      <c r="R36" s="69">
        <f t="shared" si="11"/>
        <v>1.1670732775997648</v>
      </c>
      <c r="S36" s="69">
        <f t="shared" si="11"/>
        <v>1.1786115557991723</v>
      </c>
      <c r="T36" s="69">
        <f t="shared" si="11"/>
        <v>1.190072723737249</v>
      </c>
      <c r="U36" s="69">
        <f t="shared" si="11"/>
        <v>1.2348095827184054</v>
      </c>
      <c r="V36" s="69">
        <f t="shared" si="11"/>
        <v>1.2777547678926566</v>
      </c>
      <c r="W36" s="69">
        <f t="shared" si="11"/>
        <v>1.3190875050456918</v>
      </c>
      <c r="X36" s="69">
        <f t="shared" si="11"/>
        <v>1.3589870336454348</v>
      </c>
      <c r="Y36" s="69">
        <f t="shared" si="11"/>
        <v>1.3976228784880316</v>
      </c>
      <c r="Z36" s="69">
        <f t="shared" si="11"/>
        <v>1.4351361079154394</v>
      </c>
      <c r="AA36" s="69">
        <f t="shared" si="11"/>
        <v>1.4716070726497792</v>
      </c>
      <c r="AB36" s="69">
        <f t="shared" si="11"/>
        <v>1.5071894416362224</v>
      </c>
      <c r="AC36" s="69">
        <f t="shared" si="11"/>
        <v>1.5418823212675421</v>
      </c>
      <c r="AE36" s="69">
        <f t="shared" ref="AE36:BD36" si="12">AE29/AE27</f>
        <v>0.90668504055909893</v>
      </c>
      <c r="AF36" s="69">
        <f t="shared" si="12"/>
        <v>0.91241601391105964</v>
      </c>
      <c r="AG36" s="69">
        <f t="shared" si="12"/>
        <v>0.91845182834170402</v>
      </c>
      <c r="AH36" s="69">
        <f t="shared" si="12"/>
        <v>0.92494259750778551</v>
      </c>
      <c r="AI36" s="69">
        <f t="shared" si="12"/>
        <v>0.93198533664289551</v>
      </c>
      <c r="AJ36" s="69">
        <f t="shared" si="12"/>
        <v>0.93956906580474264</v>
      </c>
      <c r="AK36" s="69">
        <f t="shared" si="12"/>
        <v>0.9477237461721284</v>
      </c>
      <c r="AL36" s="69">
        <f t="shared" si="12"/>
        <v>0.95657177630240209</v>
      </c>
      <c r="AM36" s="69">
        <f t="shared" si="12"/>
        <v>0.96616415129254896</v>
      </c>
      <c r="AN36" s="69">
        <f t="shared" si="12"/>
        <v>0.97661531672863655</v>
      </c>
      <c r="AO36" s="69">
        <f t="shared" si="12"/>
        <v>0.98793195648737364</v>
      </c>
      <c r="AP36" s="69">
        <f t="shared" si="12"/>
        <v>1.0003268008568007</v>
      </c>
      <c r="AQ36" s="69">
        <f t="shared" si="12"/>
        <v>1.0140486160938942</v>
      </c>
      <c r="AR36" s="69">
        <f t="shared" si="12"/>
        <v>1.0300353675975062</v>
      </c>
      <c r="AS36" s="69">
        <f t="shared" si="12"/>
        <v>1.0466300249168832</v>
      </c>
      <c r="AT36" s="69">
        <f t="shared" si="12"/>
        <v>1.056632039142646</v>
      </c>
      <c r="AU36" s="69">
        <f t="shared" si="12"/>
        <v>1.0665719006345489</v>
      </c>
      <c r="AV36" s="69">
        <f t="shared" si="12"/>
        <v>1.1054314303238864</v>
      </c>
      <c r="AW36" s="69">
        <f t="shared" si="12"/>
        <v>1.1428133299377348</v>
      </c>
      <c r="AX36" s="69">
        <f t="shared" si="12"/>
        <v>1.1788552392436251</v>
      </c>
      <c r="AY36" s="69">
        <f t="shared" si="12"/>
        <v>1.2137102890019729</v>
      </c>
      <c r="AZ36" s="69">
        <f t="shared" si="12"/>
        <v>1.2475202032853598</v>
      </c>
      <c r="BA36" s="69">
        <f t="shared" si="12"/>
        <v>1.2803820481551555</v>
      </c>
      <c r="BB36" s="69">
        <f t="shared" si="12"/>
        <v>1.3124070987582863</v>
      </c>
      <c r="BC36" s="69">
        <f t="shared" si="12"/>
        <v>1.3436514099607717</v>
      </c>
      <c r="BD36" s="69">
        <f t="shared" si="12"/>
        <v>1.3742215182750945</v>
      </c>
    </row>
    <row r="37" spans="1:56">
      <c r="A37" s="45"/>
      <c r="B37" s="45" t="s">
        <v>77</v>
      </c>
      <c r="C37" s="45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  <c r="Q37" s="69"/>
      <c r="R37" s="69"/>
      <c r="S37" s="69"/>
      <c r="T37" s="69"/>
      <c r="U37" s="69"/>
      <c r="V37" s="69"/>
      <c r="W37" s="69"/>
      <c r="X37" s="69"/>
      <c r="Y37" s="69"/>
      <c r="Z37" s="69"/>
      <c r="AA37" s="69"/>
      <c r="AB37" s="69"/>
      <c r="AC37" s="69"/>
      <c r="AE37" s="69"/>
      <c r="AF37" s="69"/>
      <c r="AG37" s="69"/>
      <c r="AH37" s="69"/>
      <c r="AI37" s="69"/>
      <c r="AJ37" s="69"/>
      <c r="AK37" s="69"/>
      <c r="AL37" s="69"/>
      <c r="AM37" s="69"/>
      <c r="AN37" s="69"/>
      <c r="AO37" s="69"/>
      <c r="AP37" s="69"/>
      <c r="AQ37" s="69"/>
      <c r="AR37" s="69"/>
      <c r="AS37" s="69"/>
      <c r="AT37" s="69"/>
      <c r="AU37" s="69"/>
      <c r="AV37" s="69"/>
      <c r="AW37" s="69"/>
      <c r="AX37" s="69"/>
      <c r="AY37" s="69"/>
      <c r="AZ37" s="69"/>
      <c r="BA37" s="69"/>
      <c r="BB37" s="69"/>
      <c r="BC37" s="69"/>
      <c r="BD37" s="69"/>
    </row>
    <row r="38" spans="1:56">
      <c r="A38" s="45"/>
      <c r="B38" s="45"/>
      <c r="C38" s="11" t="s">
        <v>78</v>
      </c>
      <c r="D38" s="69">
        <f t="shared" ref="D38:AC38" si="13">5*D20+6*D21+7*D22+8*D23+9*D24+10*D25+11*D26</f>
        <v>0.91504397600000009</v>
      </c>
      <c r="E38" s="69">
        <f t="shared" si="13"/>
        <v>0.92486706399999996</v>
      </c>
      <c r="F38" s="69">
        <f t="shared" si="13"/>
        <v>0.93349688100000017</v>
      </c>
      <c r="G38" s="69">
        <f t="shared" si="13"/>
        <v>0.94144320700000006</v>
      </c>
      <c r="H38" s="69">
        <f t="shared" si="13"/>
        <v>0.947880999</v>
      </c>
      <c r="I38" s="69">
        <f t="shared" si="13"/>
        <v>0.953486799</v>
      </c>
      <c r="J38" s="69">
        <f t="shared" si="13"/>
        <v>0.95738705800000001</v>
      </c>
      <c r="K38" s="69">
        <f t="shared" si="13"/>
        <v>0.96036962599999998</v>
      </c>
      <c r="L38" s="69">
        <f t="shared" si="13"/>
        <v>0.96217270799999999</v>
      </c>
      <c r="M38" s="69">
        <f t="shared" si="13"/>
        <v>0.96139239899999995</v>
      </c>
      <c r="N38" s="69">
        <f t="shared" si="13"/>
        <v>0.95959054799999999</v>
      </c>
      <c r="O38" s="69">
        <f t="shared" si="13"/>
        <v>0.95546015400000006</v>
      </c>
      <c r="P38" s="69">
        <f t="shared" si="13"/>
        <v>0.94937705699999986</v>
      </c>
      <c r="Q38" s="69">
        <f t="shared" si="13"/>
        <v>0.94127880200000014</v>
      </c>
      <c r="R38" s="69">
        <f t="shared" si="13"/>
        <v>0.92603334600000009</v>
      </c>
      <c r="S38" s="69">
        <f t="shared" si="13"/>
        <v>0.90533154199999999</v>
      </c>
      <c r="T38" s="69">
        <f t="shared" si="13"/>
        <v>0.8853637459999999</v>
      </c>
      <c r="U38" s="69">
        <f t="shared" si="13"/>
        <v>0.81246519100000003</v>
      </c>
      <c r="V38" s="69">
        <f t="shared" si="13"/>
        <v>0.74929103379999995</v>
      </c>
      <c r="W38" s="69">
        <f t="shared" si="13"/>
        <v>0.69412174180000008</v>
      </c>
      <c r="X38" s="69">
        <f t="shared" si="13"/>
        <v>0.64558834370000007</v>
      </c>
      <c r="Y38" s="69">
        <f t="shared" si="13"/>
        <v>0.60260194399999989</v>
      </c>
      <c r="Z38" s="69">
        <f t="shared" si="13"/>
        <v>0.56429529060000005</v>
      </c>
      <c r="AA38" s="69">
        <f t="shared" si="13"/>
        <v>0.52998045100000002</v>
      </c>
      <c r="AB38" s="69">
        <f t="shared" si="13"/>
        <v>0.49907341270000005</v>
      </c>
      <c r="AC38" s="69">
        <f t="shared" si="13"/>
        <v>0.47112916050000003</v>
      </c>
      <c r="AE38" s="69">
        <f t="shared" ref="AE38:BD38" si="14">5*AE20+6*AE21+7*AE22+8*AE23+9*AE24+10*AE25+11*AE26</f>
        <v>0.98579529299999991</v>
      </c>
      <c r="AF38" s="69">
        <f t="shared" si="14"/>
        <v>0.99600171999999998</v>
      </c>
      <c r="AG38" s="69">
        <f t="shared" si="14"/>
        <v>1.0060727960000002</v>
      </c>
      <c r="AH38" s="69">
        <f t="shared" si="14"/>
        <v>1.0150388190000001</v>
      </c>
      <c r="AI38" s="69">
        <f t="shared" si="14"/>
        <v>1.0220543639999999</v>
      </c>
      <c r="AJ38" s="69">
        <f t="shared" si="14"/>
        <v>1.0277660869999998</v>
      </c>
      <c r="AK38" s="69">
        <f t="shared" si="14"/>
        <v>1.032719301</v>
      </c>
      <c r="AL38" s="69">
        <f t="shared" si="14"/>
        <v>1.0354940640000001</v>
      </c>
      <c r="AM38" s="69">
        <f t="shared" si="14"/>
        <v>1.036785818</v>
      </c>
      <c r="AN38" s="69">
        <f t="shared" si="14"/>
        <v>1.036597561</v>
      </c>
      <c r="AO38" s="69">
        <f t="shared" si="14"/>
        <v>1.03333429</v>
      </c>
      <c r="AP38" s="69">
        <f t="shared" si="14"/>
        <v>1.028360285</v>
      </c>
      <c r="AQ38" s="69">
        <f t="shared" si="14"/>
        <v>1.0211927190000001</v>
      </c>
      <c r="AR38" s="69">
        <f t="shared" si="14"/>
        <v>1.0118562229999999</v>
      </c>
      <c r="AS38" s="69">
        <f t="shared" si="14"/>
        <v>0.99534498099999991</v>
      </c>
      <c r="AT38" s="69">
        <f t="shared" si="14"/>
        <v>0.97363996200000003</v>
      </c>
      <c r="AU38" s="69">
        <f t="shared" si="14"/>
        <v>0.952665659</v>
      </c>
      <c r="AV38" s="69">
        <f t="shared" si="14"/>
        <v>0.87584953999999993</v>
      </c>
      <c r="AW38" s="69">
        <f t="shared" si="14"/>
        <v>0.80902221399999996</v>
      </c>
      <c r="AX38" s="69">
        <f t="shared" si="14"/>
        <v>0.75048724860000005</v>
      </c>
      <c r="AY38" s="69">
        <f t="shared" si="14"/>
        <v>0.69886071620000001</v>
      </c>
      <c r="AZ38" s="69">
        <f t="shared" si="14"/>
        <v>0.6530326166</v>
      </c>
      <c r="BA38" s="69">
        <f t="shared" si="14"/>
        <v>0.61212016799999991</v>
      </c>
      <c r="BB38" s="69">
        <f t="shared" si="14"/>
        <v>0.57539720589999999</v>
      </c>
      <c r="BC38" s="69">
        <f t="shared" si="14"/>
        <v>0.54228322429999998</v>
      </c>
      <c r="BD38" s="69">
        <f t="shared" si="14"/>
        <v>0.51228132790000003</v>
      </c>
    </row>
    <row r="39" spans="1:56">
      <c r="A39" s="11"/>
      <c r="B39" s="22" t="s">
        <v>32</v>
      </c>
      <c r="C39" s="11" t="s">
        <v>79</v>
      </c>
      <c r="D39" s="69">
        <f t="shared" ref="D39:AC39" si="15">D10</f>
        <v>4.1666666666666705</v>
      </c>
      <c r="E39" s="69">
        <f t="shared" si="15"/>
        <v>4.0816326530612237</v>
      </c>
      <c r="F39" s="69">
        <f t="shared" si="15"/>
        <v>4</v>
      </c>
      <c r="G39" s="69">
        <f t="shared" si="15"/>
        <v>3.9215686274509807</v>
      </c>
      <c r="H39" s="69">
        <f t="shared" si="15"/>
        <v>3.8461538461538458</v>
      </c>
      <c r="I39" s="69">
        <f t="shared" si="15"/>
        <v>3.7735849056603774</v>
      </c>
      <c r="J39" s="69">
        <f t="shared" si="15"/>
        <v>3.7037037037037033</v>
      </c>
      <c r="K39" s="69">
        <f t="shared" si="15"/>
        <v>3.6363636363636367</v>
      </c>
      <c r="L39" s="69">
        <f t="shared" si="15"/>
        <v>3.5714285714285698</v>
      </c>
      <c r="M39" s="69">
        <f t="shared" si="15"/>
        <v>3.5087719298245612</v>
      </c>
      <c r="N39" s="69">
        <f t="shared" si="15"/>
        <v>3.4482758620689657</v>
      </c>
      <c r="O39" s="69">
        <f t="shared" si="15"/>
        <v>3.3898305084745761</v>
      </c>
      <c r="P39" s="69">
        <f t="shared" si="15"/>
        <v>3.333333333333333</v>
      </c>
      <c r="Q39" s="69">
        <f t="shared" si="15"/>
        <v>3.2786885245901596</v>
      </c>
      <c r="R39" s="69">
        <f t="shared" si="15"/>
        <v>3.225806451612903</v>
      </c>
      <c r="S39" s="69">
        <f t="shared" si="15"/>
        <v>3.1746031746031744</v>
      </c>
      <c r="T39" s="69">
        <f t="shared" si="15"/>
        <v>3.125</v>
      </c>
      <c r="U39" s="69">
        <f t="shared" si="15"/>
        <v>2.9411764705882399</v>
      </c>
      <c r="V39" s="69">
        <f t="shared" si="15"/>
        <v>2.7777777777777777</v>
      </c>
      <c r="W39" s="69">
        <f t="shared" si="15"/>
        <v>2.6315789473684208</v>
      </c>
      <c r="X39" s="69">
        <f t="shared" si="15"/>
        <v>2.5</v>
      </c>
      <c r="Y39" s="69">
        <f t="shared" si="15"/>
        <v>2.38095238095238</v>
      </c>
      <c r="Z39" s="69">
        <f t="shared" si="15"/>
        <v>2.2727272727272725</v>
      </c>
      <c r="AA39" s="69">
        <f t="shared" si="15"/>
        <v>2.1739130434782612</v>
      </c>
      <c r="AB39" s="69">
        <f t="shared" si="15"/>
        <v>2.0833333333333335</v>
      </c>
      <c r="AC39" s="69">
        <f t="shared" si="15"/>
        <v>2</v>
      </c>
      <c r="AE39" s="69">
        <f t="shared" ref="AE39:BD39" si="16">AE10</f>
        <v>4.166666666666667</v>
      </c>
      <c r="AF39" s="69">
        <f t="shared" si="16"/>
        <v>4.0816326530612237</v>
      </c>
      <c r="AG39" s="69">
        <f t="shared" si="16"/>
        <v>4</v>
      </c>
      <c r="AH39" s="69">
        <f t="shared" si="16"/>
        <v>3.9215686274509807</v>
      </c>
      <c r="AI39" s="69">
        <f t="shared" si="16"/>
        <v>3.8461538461538503</v>
      </c>
      <c r="AJ39" s="69">
        <f t="shared" si="16"/>
        <v>3.7735849056603801</v>
      </c>
      <c r="AK39" s="69">
        <f t="shared" si="16"/>
        <v>3.7037037037037033</v>
      </c>
      <c r="AL39" s="69">
        <f t="shared" si="16"/>
        <v>3.6363636363636367</v>
      </c>
      <c r="AM39" s="69">
        <f t="shared" si="16"/>
        <v>3.5714285714285716</v>
      </c>
      <c r="AN39" s="69">
        <f t="shared" si="16"/>
        <v>3.5087719298245599</v>
      </c>
      <c r="AO39" s="69">
        <f t="shared" si="16"/>
        <v>3.4482758620689657</v>
      </c>
      <c r="AP39" s="69">
        <f t="shared" si="16"/>
        <v>3.3898305084745761</v>
      </c>
      <c r="AQ39" s="69">
        <f t="shared" si="16"/>
        <v>3.333333333333333</v>
      </c>
      <c r="AR39" s="69">
        <f t="shared" si="16"/>
        <v>3.278688524590164</v>
      </c>
      <c r="AS39" s="69">
        <f t="shared" si="16"/>
        <v>3.225806451612903</v>
      </c>
      <c r="AT39" s="69">
        <f t="shared" si="16"/>
        <v>3.1746031746031744</v>
      </c>
      <c r="AU39" s="69">
        <f t="shared" si="16"/>
        <v>3.125</v>
      </c>
      <c r="AV39" s="69">
        <f t="shared" si="16"/>
        <v>2.9411764705882355</v>
      </c>
      <c r="AW39" s="69">
        <f t="shared" si="16"/>
        <v>2.7777777777777777</v>
      </c>
      <c r="AX39" s="69">
        <f t="shared" si="16"/>
        <v>2.6315789473684208</v>
      </c>
      <c r="AY39" s="69">
        <f t="shared" si="16"/>
        <v>2.5</v>
      </c>
      <c r="AZ39" s="69">
        <f t="shared" si="16"/>
        <v>2.3809523809523809</v>
      </c>
      <c r="BA39" s="69">
        <f t="shared" si="16"/>
        <v>2.2727272727272725</v>
      </c>
      <c r="BB39" s="69">
        <f t="shared" si="16"/>
        <v>2.1739130434782612</v>
      </c>
      <c r="BC39" s="69">
        <f t="shared" si="16"/>
        <v>2.0833333333333335</v>
      </c>
      <c r="BD39" s="69">
        <f t="shared" si="16"/>
        <v>2</v>
      </c>
    </row>
    <row r="40" spans="1:56" ht="15.75">
      <c r="A40" s="45"/>
      <c r="B40" s="11" t="s">
        <v>80</v>
      </c>
      <c r="C40" s="11" t="s">
        <v>81</v>
      </c>
      <c r="D40" s="54">
        <f t="shared" ref="D40:AC40" si="17">D38/D39</f>
        <v>0.21961055423999981</v>
      </c>
      <c r="E40" s="54">
        <f t="shared" si="17"/>
        <v>0.22659243068000004</v>
      </c>
      <c r="F40" s="54">
        <f t="shared" si="17"/>
        <v>0.23337422025000004</v>
      </c>
      <c r="G40" s="54">
        <f t="shared" si="17"/>
        <v>0.240068017785</v>
      </c>
      <c r="H40" s="54">
        <f t="shared" si="17"/>
        <v>0.24644905974000003</v>
      </c>
      <c r="I40" s="41">
        <f t="shared" si="17"/>
        <v>0.25267400173499999</v>
      </c>
      <c r="J40" s="41">
        <f t="shared" si="17"/>
        <v>0.25849450566000004</v>
      </c>
      <c r="K40" s="41">
        <f t="shared" si="17"/>
        <v>0.26410164714999995</v>
      </c>
      <c r="L40" s="41">
        <f t="shared" si="17"/>
        <v>0.26940835824000009</v>
      </c>
      <c r="M40" s="54">
        <f t="shared" si="17"/>
        <v>0.273996833715</v>
      </c>
      <c r="N40" s="54">
        <f t="shared" si="17"/>
        <v>0.27828125892</v>
      </c>
      <c r="O40" s="42">
        <f t="shared" si="17"/>
        <v>0.28186074543</v>
      </c>
      <c r="P40" s="42">
        <f t="shared" si="17"/>
        <v>0.28481311709999996</v>
      </c>
      <c r="Q40" s="42">
        <f t="shared" si="17"/>
        <v>0.28709003461000043</v>
      </c>
      <c r="R40" s="54">
        <f t="shared" si="17"/>
        <v>0.28707033726000003</v>
      </c>
      <c r="S40" s="54">
        <f t="shared" si="17"/>
        <v>0.28517943572999999</v>
      </c>
      <c r="T40" s="54">
        <f t="shared" si="17"/>
        <v>0.28331639871999997</v>
      </c>
      <c r="U40" s="54">
        <f t="shared" si="17"/>
        <v>0.27623816493999959</v>
      </c>
      <c r="V40" s="54">
        <f t="shared" si="17"/>
        <v>0.26974477216799997</v>
      </c>
      <c r="W40" s="54">
        <f t="shared" si="17"/>
        <v>0.26376626188400004</v>
      </c>
      <c r="X40" s="54">
        <f t="shared" si="17"/>
        <v>0.25823533748000005</v>
      </c>
      <c r="Y40" s="54">
        <f t="shared" si="17"/>
        <v>0.25309281648000004</v>
      </c>
      <c r="Z40" s="54">
        <f t="shared" si="17"/>
        <v>0.24828992786400006</v>
      </c>
      <c r="AA40" s="54">
        <f t="shared" si="17"/>
        <v>0.24379100745999996</v>
      </c>
      <c r="AB40" s="54">
        <f t="shared" si="17"/>
        <v>0.23955523809600002</v>
      </c>
      <c r="AC40" s="54">
        <f t="shared" si="17"/>
        <v>0.23556458025000002</v>
      </c>
      <c r="AE40" s="54">
        <f t="shared" ref="AE40:BD40" si="18">AE38/AE39</f>
        <v>0.23659087031999995</v>
      </c>
      <c r="AF40" s="54">
        <f t="shared" si="18"/>
        <v>0.24402042140000005</v>
      </c>
      <c r="AG40" s="54">
        <f t="shared" si="18"/>
        <v>0.25151819900000005</v>
      </c>
      <c r="AH40" s="54">
        <f t="shared" si="18"/>
        <v>0.25883489884499999</v>
      </c>
      <c r="AI40" s="54">
        <f t="shared" si="18"/>
        <v>0.26573413463999968</v>
      </c>
      <c r="AJ40" s="41">
        <f t="shared" si="18"/>
        <v>0.27235801305499974</v>
      </c>
      <c r="AK40" s="41">
        <f t="shared" si="18"/>
        <v>0.27883421127000002</v>
      </c>
      <c r="AL40" s="41">
        <f t="shared" si="18"/>
        <v>0.28476086760000002</v>
      </c>
      <c r="AM40" s="41">
        <f t="shared" si="18"/>
        <v>0.29030002904000002</v>
      </c>
      <c r="AN40" s="54">
        <f t="shared" si="18"/>
        <v>0.29543030488500011</v>
      </c>
      <c r="AO40" s="54">
        <f t="shared" si="18"/>
        <v>0.2996669441</v>
      </c>
      <c r="AP40" s="42">
        <f t="shared" si="18"/>
        <v>0.30336628407499999</v>
      </c>
      <c r="AQ40" s="42">
        <f t="shared" si="18"/>
        <v>0.30635781570000004</v>
      </c>
      <c r="AR40" s="42">
        <f t="shared" si="18"/>
        <v>0.30861614801499998</v>
      </c>
      <c r="AS40" s="54">
        <f t="shared" si="18"/>
        <v>0.30855694411000001</v>
      </c>
      <c r="AT40" s="54">
        <f t="shared" si="18"/>
        <v>0.30669658803000005</v>
      </c>
      <c r="AU40" s="54">
        <f t="shared" si="18"/>
        <v>0.30485301088</v>
      </c>
      <c r="AV40" s="54">
        <f t="shared" si="18"/>
        <v>0.29778884359999996</v>
      </c>
      <c r="AW40" s="54">
        <f t="shared" si="18"/>
        <v>0.29124799703999998</v>
      </c>
      <c r="AX40" s="54">
        <f t="shared" si="18"/>
        <v>0.28518515446800002</v>
      </c>
      <c r="AY40" s="54">
        <f t="shared" si="18"/>
        <v>0.27954428648000001</v>
      </c>
      <c r="AZ40" s="54">
        <f t="shared" si="18"/>
        <v>0.27427369897199999</v>
      </c>
      <c r="BA40" s="54">
        <f t="shared" si="18"/>
        <v>0.26933287391999999</v>
      </c>
      <c r="BB40" s="54">
        <f t="shared" si="18"/>
        <v>0.26468271471399996</v>
      </c>
      <c r="BC40" s="54">
        <f t="shared" si="18"/>
        <v>0.26029594766399999</v>
      </c>
      <c r="BD40" s="54">
        <f t="shared" si="18"/>
        <v>0.25614066395000001</v>
      </c>
    </row>
    <row r="41" spans="1:56">
      <c r="A41" s="45"/>
      <c r="B41" s="45"/>
      <c r="C41" s="45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  <c r="Q41" s="53"/>
      <c r="R41" s="53"/>
      <c r="S41" s="53"/>
      <c r="T41" s="53"/>
      <c r="U41" s="53"/>
      <c r="V41" s="53"/>
      <c r="W41" s="53"/>
      <c r="X41" s="53"/>
      <c r="Y41" s="53"/>
      <c r="Z41" s="53"/>
      <c r="AA41" s="53"/>
      <c r="AB41" s="53"/>
      <c r="AC41" s="53"/>
      <c r="AE41" s="53"/>
      <c r="AF41" s="53"/>
      <c r="AG41" s="53"/>
      <c r="AH41" s="53"/>
      <c r="AI41" s="53"/>
      <c r="AJ41" s="53"/>
      <c r="AK41" s="53"/>
      <c r="AL41" s="53"/>
      <c r="AM41" s="53"/>
      <c r="AN41" s="53"/>
      <c r="AO41" s="53"/>
      <c r="AP41" s="53"/>
      <c r="AQ41" s="53"/>
      <c r="AR41" s="53"/>
      <c r="AS41" s="53"/>
      <c r="AT41" s="53"/>
      <c r="AU41" s="53"/>
      <c r="AV41" s="53"/>
      <c r="AW41" s="53"/>
      <c r="AX41" s="53"/>
      <c r="AY41" s="53"/>
      <c r="AZ41" s="53"/>
      <c r="BA41" s="53"/>
      <c r="BB41" s="53"/>
      <c r="BC41" s="53"/>
      <c r="BD41" s="53"/>
    </row>
    <row r="42" spans="1:56">
      <c r="A42" s="45"/>
      <c r="B42" s="45"/>
      <c r="C42" s="45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  <c r="Q42" s="53"/>
      <c r="R42" s="53"/>
      <c r="S42" s="53"/>
      <c r="T42" s="53"/>
      <c r="U42" s="53"/>
      <c r="V42" s="53"/>
      <c r="W42" s="53"/>
      <c r="X42" s="53"/>
      <c r="Y42" s="53"/>
      <c r="Z42" s="53"/>
      <c r="AA42" s="53"/>
      <c r="AB42" s="53"/>
      <c r="AC42" s="53"/>
      <c r="AE42" s="53"/>
      <c r="AF42" s="53"/>
      <c r="AG42" s="53"/>
      <c r="AH42" s="53"/>
      <c r="AI42" s="53"/>
      <c r="AJ42" s="53"/>
      <c r="AK42" s="53"/>
      <c r="AL42" s="53"/>
      <c r="AM42" s="53"/>
      <c r="AN42" s="53"/>
      <c r="AO42" s="53"/>
      <c r="AP42" s="53"/>
      <c r="AQ42" s="53"/>
      <c r="AR42" s="53"/>
      <c r="AS42" s="53"/>
      <c r="AT42" s="53"/>
      <c r="AU42" s="53"/>
      <c r="AV42" s="53"/>
      <c r="AW42" s="53"/>
      <c r="AX42" s="53"/>
      <c r="AY42" s="53"/>
      <c r="AZ42" s="53"/>
      <c r="BA42" s="53"/>
      <c r="BB42" s="53"/>
      <c r="BC42" s="53"/>
      <c r="BD42" s="53"/>
    </row>
    <row r="43" spans="1:56">
      <c r="A43" s="45"/>
      <c r="B43" s="45"/>
      <c r="C43" s="11" t="s">
        <v>78</v>
      </c>
      <c r="D43" s="69">
        <f t="shared" ref="D43:AC43" si="19">D38</f>
        <v>0.91504397600000009</v>
      </c>
      <c r="E43" s="69">
        <f t="shared" si="19"/>
        <v>0.92486706399999996</v>
      </c>
      <c r="F43" s="69">
        <f t="shared" si="19"/>
        <v>0.93349688100000017</v>
      </c>
      <c r="G43" s="69">
        <f t="shared" si="19"/>
        <v>0.94144320700000006</v>
      </c>
      <c r="H43" s="69">
        <f t="shared" si="19"/>
        <v>0.947880999</v>
      </c>
      <c r="I43" s="69">
        <f t="shared" si="19"/>
        <v>0.953486799</v>
      </c>
      <c r="J43" s="69">
        <f t="shared" si="19"/>
        <v>0.95738705800000001</v>
      </c>
      <c r="K43" s="69">
        <f t="shared" si="19"/>
        <v>0.96036962599999998</v>
      </c>
      <c r="L43" s="69">
        <f t="shared" si="19"/>
        <v>0.96217270799999999</v>
      </c>
      <c r="M43" s="69">
        <f t="shared" si="19"/>
        <v>0.96139239899999995</v>
      </c>
      <c r="N43" s="69">
        <f t="shared" si="19"/>
        <v>0.95959054799999999</v>
      </c>
      <c r="O43" s="69">
        <f t="shared" si="19"/>
        <v>0.95546015400000006</v>
      </c>
      <c r="P43" s="69">
        <f t="shared" si="19"/>
        <v>0.94937705699999986</v>
      </c>
      <c r="Q43" s="69">
        <f t="shared" si="19"/>
        <v>0.94127880200000014</v>
      </c>
      <c r="R43" s="69">
        <f t="shared" si="19"/>
        <v>0.92603334600000009</v>
      </c>
      <c r="S43" s="69">
        <f t="shared" si="19"/>
        <v>0.90533154199999999</v>
      </c>
      <c r="T43" s="69">
        <f t="shared" si="19"/>
        <v>0.8853637459999999</v>
      </c>
      <c r="U43" s="69">
        <f t="shared" si="19"/>
        <v>0.81246519100000003</v>
      </c>
      <c r="V43" s="69">
        <f t="shared" si="19"/>
        <v>0.74929103379999995</v>
      </c>
      <c r="W43" s="69">
        <f t="shared" si="19"/>
        <v>0.69412174180000008</v>
      </c>
      <c r="X43" s="69">
        <f t="shared" si="19"/>
        <v>0.64558834370000007</v>
      </c>
      <c r="Y43" s="69">
        <f t="shared" si="19"/>
        <v>0.60260194399999989</v>
      </c>
      <c r="Z43" s="69">
        <f t="shared" si="19"/>
        <v>0.56429529060000005</v>
      </c>
      <c r="AA43" s="69">
        <f t="shared" si="19"/>
        <v>0.52998045100000002</v>
      </c>
      <c r="AB43" s="69">
        <f t="shared" si="19"/>
        <v>0.49907341270000005</v>
      </c>
      <c r="AC43" s="69">
        <f t="shared" si="19"/>
        <v>0.47112916050000003</v>
      </c>
      <c r="AD43" s="70"/>
      <c r="AE43" s="69">
        <f t="shared" ref="AE43:BD43" si="20">AE38</f>
        <v>0.98579529299999991</v>
      </c>
      <c r="AF43" s="69">
        <f t="shared" si="20"/>
        <v>0.99600171999999998</v>
      </c>
      <c r="AG43" s="69">
        <f t="shared" si="20"/>
        <v>1.0060727960000002</v>
      </c>
      <c r="AH43" s="69">
        <f t="shared" si="20"/>
        <v>1.0150388190000001</v>
      </c>
      <c r="AI43" s="69">
        <f t="shared" si="20"/>
        <v>1.0220543639999999</v>
      </c>
      <c r="AJ43" s="69">
        <f t="shared" si="20"/>
        <v>1.0277660869999998</v>
      </c>
      <c r="AK43" s="69">
        <f t="shared" si="20"/>
        <v>1.032719301</v>
      </c>
      <c r="AL43" s="69">
        <f t="shared" si="20"/>
        <v>1.0354940640000001</v>
      </c>
      <c r="AM43" s="69">
        <f t="shared" si="20"/>
        <v>1.036785818</v>
      </c>
      <c r="AN43" s="69">
        <f t="shared" si="20"/>
        <v>1.036597561</v>
      </c>
      <c r="AO43" s="69">
        <f t="shared" si="20"/>
        <v>1.03333429</v>
      </c>
      <c r="AP43" s="69">
        <f t="shared" si="20"/>
        <v>1.028360285</v>
      </c>
      <c r="AQ43" s="69">
        <f t="shared" si="20"/>
        <v>1.0211927190000001</v>
      </c>
      <c r="AR43" s="69">
        <f t="shared" si="20"/>
        <v>1.0118562229999999</v>
      </c>
      <c r="AS43" s="69">
        <f t="shared" si="20"/>
        <v>0.99534498099999991</v>
      </c>
      <c r="AT43" s="69">
        <f t="shared" si="20"/>
        <v>0.97363996200000003</v>
      </c>
      <c r="AU43" s="69">
        <f t="shared" si="20"/>
        <v>0.952665659</v>
      </c>
      <c r="AV43" s="69">
        <f t="shared" si="20"/>
        <v>0.87584953999999993</v>
      </c>
      <c r="AW43" s="69">
        <f t="shared" si="20"/>
        <v>0.80902221399999996</v>
      </c>
      <c r="AX43" s="69">
        <f t="shared" si="20"/>
        <v>0.75048724860000005</v>
      </c>
      <c r="AY43" s="69">
        <f t="shared" si="20"/>
        <v>0.69886071620000001</v>
      </c>
      <c r="AZ43" s="69">
        <f t="shared" si="20"/>
        <v>0.6530326166</v>
      </c>
      <c r="BA43" s="69">
        <f t="shared" si="20"/>
        <v>0.61212016799999991</v>
      </c>
      <c r="BB43" s="69">
        <f t="shared" si="20"/>
        <v>0.57539720589999999</v>
      </c>
      <c r="BC43" s="69">
        <f t="shared" si="20"/>
        <v>0.54228322429999998</v>
      </c>
      <c r="BD43" s="69">
        <f t="shared" si="20"/>
        <v>0.51228132790000003</v>
      </c>
    </row>
    <row r="44" spans="1:56">
      <c r="A44" s="45"/>
      <c r="B44" s="43" t="s">
        <v>32</v>
      </c>
      <c r="C44" s="11" t="s">
        <v>79</v>
      </c>
      <c r="D44" s="69">
        <f t="shared" ref="D44:AC44" si="21">D39*D34</f>
        <v>2.9542729666666707</v>
      </c>
      <c r="E44" s="69">
        <f t="shared" si="21"/>
        <v>2.9943307530612238</v>
      </c>
      <c r="F44" s="69">
        <f t="shared" si="21"/>
        <v>3.0314062100000001</v>
      </c>
      <c r="G44" s="69">
        <f t="shared" si="21"/>
        <v>3.0670673374509807</v>
      </c>
      <c r="H44" s="69">
        <f t="shared" si="21"/>
        <v>3.0989350961538458</v>
      </c>
      <c r="I44" s="69">
        <f t="shared" si="21"/>
        <v>3.1291267856603775</v>
      </c>
      <c r="J44" s="69">
        <f t="shared" si="21"/>
        <v>3.1550663437037034</v>
      </c>
      <c r="K44" s="69">
        <f t="shared" si="21"/>
        <v>3.1792495463636365</v>
      </c>
      <c r="L44" s="69">
        <f t="shared" si="21"/>
        <v>3.2010662914285697</v>
      </c>
      <c r="M44" s="69">
        <f t="shared" si="21"/>
        <v>3.2162057798245614</v>
      </c>
      <c r="N44" s="69">
        <f t="shared" si="21"/>
        <v>3.2297832320689657</v>
      </c>
      <c r="O44" s="69">
        <f t="shared" si="21"/>
        <v>3.2378644484745762</v>
      </c>
      <c r="P44" s="69">
        <f t="shared" si="21"/>
        <v>3.2422085503333329</v>
      </c>
      <c r="Q44" s="69">
        <f t="shared" si="21"/>
        <v>3.2446123465901597</v>
      </c>
      <c r="R44" s="69">
        <f t="shared" si="21"/>
        <v>3.2258064409582512</v>
      </c>
      <c r="S44" s="69">
        <f t="shared" si="21"/>
        <v>3.1746031572732356</v>
      </c>
      <c r="T44" s="69">
        <f t="shared" si="21"/>
        <v>3.1249999800174768</v>
      </c>
      <c r="U44" s="69">
        <f t="shared" si="21"/>
        <v>2.9411764503296629</v>
      </c>
      <c r="V44" s="69">
        <f t="shared" si="21"/>
        <v>2.7777777608619347</v>
      </c>
      <c r="W44" s="69">
        <f t="shared" si="21"/>
        <v>2.6315789337157236</v>
      </c>
      <c r="X44" s="69">
        <f t="shared" si="21"/>
        <v>2.4999999890073532</v>
      </c>
      <c r="Y44" s="69">
        <f t="shared" si="21"/>
        <v>2.3809523720397126</v>
      </c>
      <c r="Z44" s="69">
        <f t="shared" si="21"/>
        <v>2.2727272654293338</v>
      </c>
      <c r="AA44" s="69">
        <f t="shared" si="21"/>
        <v>2.1739130374394358</v>
      </c>
      <c r="AB44" s="69">
        <f t="shared" si="21"/>
        <v>2.0833333282849238</v>
      </c>
      <c r="AC44" s="69">
        <f t="shared" si="21"/>
        <v>1.9999999957386208</v>
      </c>
      <c r="AD44" s="70"/>
      <c r="AE44" s="69">
        <f t="shared" ref="AE44:BD44" si="22">AE39*AE34</f>
        <v>3.0263831666666672</v>
      </c>
      <c r="AF44" s="69">
        <f t="shared" si="22"/>
        <v>3.0627070530612235</v>
      </c>
      <c r="AG44" s="69">
        <f t="shared" si="22"/>
        <v>3.0987679300000002</v>
      </c>
      <c r="AH44" s="69">
        <f t="shared" si="22"/>
        <v>3.1321440474509807</v>
      </c>
      <c r="AI44" s="69">
        <f t="shared" si="22"/>
        <v>3.1605228261538505</v>
      </c>
      <c r="AJ44" s="69">
        <f t="shared" si="22"/>
        <v>3.1858256556603801</v>
      </c>
      <c r="AK44" s="69">
        <f t="shared" si="22"/>
        <v>3.2096040537037034</v>
      </c>
      <c r="AL44" s="69">
        <f t="shared" si="22"/>
        <v>3.2279606563636367</v>
      </c>
      <c r="AM44" s="69">
        <f t="shared" si="22"/>
        <v>3.2430514614285717</v>
      </c>
      <c r="AN44" s="69">
        <f t="shared" si="22"/>
        <v>3.25502926982456</v>
      </c>
      <c r="AO44" s="69">
        <f t="shared" si="22"/>
        <v>3.2593314520689658</v>
      </c>
      <c r="AP44" s="69">
        <f t="shared" si="22"/>
        <v>3.2601769584745761</v>
      </c>
      <c r="AQ44" s="69">
        <f t="shared" si="22"/>
        <v>3.2566436983333329</v>
      </c>
      <c r="AR44" s="69">
        <f t="shared" si="22"/>
        <v>3.2505367245901642</v>
      </c>
      <c r="AS44" s="69">
        <f t="shared" si="22"/>
        <v>3.2258064179789732</v>
      </c>
      <c r="AT44" s="69">
        <f t="shared" si="22"/>
        <v>3.1746031218042723</v>
      </c>
      <c r="AU44" s="69">
        <f t="shared" si="22"/>
        <v>3.1249999397371031</v>
      </c>
      <c r="AV44" s="69">
        <f t="shared" si="22"/>
        <v>2.9411764107522895</v>
      </c>
      <c r="AW44" s="69">
        <f t="shared" si="22"/>
        <v>2.7777777285629148</v>
      </c>
      <c r="AX44" s="69">
        <f t="shared" si="22"/>
        <v>2.6315789081704106</v>
      </c>
      <c r="AY44" s="69">
        <f t="shared" si="22"/>
        <v>2.4999999688179488</v>
      </c>
      <c r="AZ44" s="69">
        <f t="shared" si="22"/>
        <v>2.3809523559505061</v>
      </c>
      <c r="BA44" s="69">
        <f t="shared" si="22"/>
        <v>2.2727272524658444</v>
      </c>
      <c r="BB44" s="69">
        <f t="shared" si="22"/>
        <v>2.1739130268737923</v>
      </c>
      <c r="BC44" s="69">
        <f t="shared" si="22"/>
        <v>2.0833333195773425</v>
      </c>
      <c r="BD44" s="69">
        <f t="shared" si="22"/>
        <v>1.9999999884870781</v>
      </c>
    </row>
    <row r="45" spans="1:56" ht="15.75">
      <c r="A45" s="45"/>
      <c r="B45" s="11" t="s">
        <v>82</v>
      </c>
      <c r="C45" s="11" t="s">
        <v>81</v>
      </c>
      <c r="D45" s="54">
        <f t="shared" ref="D45:AC45" si="23">D43/D44</f>
        <v>0.30973575777340961</v>
      </c>
      <c r="E45" s="54">
        <f t="shared" si="23"/>
        <v>0.30887271322797971</v>
      </c>
      <c r="F45" s="54">
        <f t="shared" si="23"/>
        <v>0.3079418647097118</v>
      </c>
      <c r="G45" s="54">
        <f t="shared" si="23"/>
        <v>0.30695224571835689</v>
      </c>
      <c r="H45" s="54">
        <f t="shared" si="23"/>
        <v>0.30587313692901646</v>
      </c>
      <c r="I45" s="54">
        <f t="shared" si="23"/>
        <v>0.30471337990185465</v>
      </c>
      <c r="J45" s="54">
        <f t="shared" si="23"/>
        <v>0.30344435067445591</v>
      </c>
      <c r="K45" s="54">
        <f t="shared" si="23"/>
        <v>0.30207431407781499</v>
      </c>
      <c r="L45" s="54">
        <f t="shared" si="23"/>
        <v>0.30057881355859151</v>
      </c>
      <c r="M45" s="54">
        <f t="shared" si="23"/>
        <v>0.29892129571772685</v>
      </c>
      <c r="N45" s="54">
        <f t="shared" si="23"/>
        <v>0.29710679604503865</v>
      </c>
      <c r="O45" s="54">
        <f t="shared" si="23"/>
        <v>0.29508960897054748</v>
      </c>
      <c r="P45" s="54">
        <f t="shared" si="23"/>
        <v>0.29281801039676919</v>
      </c>
      <c r="Q45" s="54">
        <f t="shared" si="23"/>
        <v>0.29010516556445098</v>
      </c>
      <c r="R45" s="54">
        <f t="shared" si="23"/>
        <v>0.28707033820817673</v>
      </c>
      <c r="S45" s="54">
        <f t="shared" si="23"/>
        <v>0.28517943728677481</v>
      </c>
      <c r="T45" s="54">
        <f t="shared" si="23"/>
        <v>0.28331640053164048</v>
      </c>
      <c r="U45" s="54">
        <f t="shared" si="23"/>
        <v>0.27623816684270491</v>
      </c>
      <c r="V45" s="54">
        <f t="shared" si="23"/>
        <v>0.26974477381066569</v>
      </c>
      <c r="W45" s="54">
        <f t="shared" si="23"/>
        <v>0.26376626325242603</v>
      </c>
      <c r="X45" s="54">
        <f t="shared" si="23"/>
        <v>0.25823533861547598</v>
      </c>
      <c r="Y45" s="54">
        <f t="shared" si="23"/>
        <v>0.25309281742740752</v>
      </c>
      <c r="Z45" s="54">
        <f t="shared" si="23"/>
        <v>0.24828992866128211</v>
      </c>
      <c r="AA45" s="54">
        <f t="shared" si="23"/>
        <v>0.24379100813721719</v>
      </c>
      <c r="AB45" s="54">
        <f t="shared" si="23"/>
        <v>0.23955523867649905</v>
      </c>
      <c r="AC45" s="54">
        <f t="shared" si="23"/>
        <v>0.23556458075191503</v>
      </c>
      <c r="AE45" s="54">
        <f t="shared" ref="AE45:BD45" si="24">AE43/AE44</f>
        <v>0.32573380127731116</v>
      </c>
      <c r="AF45" s="54">
        <f t="shared" si="24"/>
        <v>0.32520306472160981</v>
      </c>
      <c r="AG45" s="54">
        <f t="shared" si="24"/>
        <v>0.32466864854897354</v>
      </c>
      <c r="AH45" s="54">
        <f t="shared" si="24"/>
        <v>0.32407156363899187</v>
      </c>
      <c r="AI45" s="54">
        <f t="shared" si="24"/>
        <v>0.32338142143519122</v>
      </c>
      <c r="AJ45" s="54">
        <f t="shared" si="24"/>
        <v>0.32260587931857726</v>
      </c>
      <c r="AK45" s="54">
        <f t="shared" si="24"/>
        <v>0.32175909667371577</v>
      </c>
      <c r="AL45" s="54">
        <f t="shared" si="24"/>
        <v>0.32078893587461044</v>
      </c>
      <c r="AM45" s="54">
        <f t="shared" si="24"/>
        <v>0.31969453162586986</v>
      </c>
      <c r="AN45" s="54">
        <f t="shared" si="24"/>
        <v>0.31846028870145021</v>
      </c>
      <c r="AO45" s="54">
        <f t="shared" si="24"/>
        <v>0.31703872563928953</v>
      </c>
      <c r="AP45" s="54">
        <f t="shared" si="24"/>
        <v>0.31543081805018514</v>
      </c>
      <c r="AQ45" s="54">
        <f t="shared" si="24"/>
        <v>0.31357213548495355</v>
      </c>
      <c r="AR45" s="54">
        <f t="shared" si="24"/>
        <v>0.31128896817111867</v>
      </c>
      <c r="AS45" s="54">
        <f t="shared" si="24"/>
        <v>0.30855694732717465</v>
      </c>
      <c r="AT45" s="54">
        <f t="shared" si="24"/>
        <v>0.30669659313087172</v>
      </c>
      <c r="AU45" s="54">
        <f t="shared" si="24"/>
        <v>0.30485301675882431</v>
      </c>
      <c r="AV45" s="54">
        <f t="shared" si="24"/>
        <v>0.29778884965828228</v>
      </c>
      <c r="AW45" s="54">
        <f t="shared" si="24"/>
        <v>0.29124800220014296</v>
      </c>
      <c r="AX45" s="54">
        <f t="shared" si="24"/>
        <v>0.28518515871590255</v>
      </c>
      <c r="AY45" s="54">
        <f t="shared" si="24"/>
        <v>0.27954428996670577</v>
      </c>
      <c r="AZ45" s="54">
        <f t="shared" si="24"/>
        <v>0.27427370185208982</v>
      </c>
      <c r="BA45" s="54">
        <f t="shared" si="24"/>
        <v>0.26933287632111019</v>
      </c>
      <c r="BB45" s="54">
        <f t="shared" si="24"/>
        <v>0.26468271673566129</v>
      </c>
      <c r="BC45" s="54">
        <f t="shared" si="24"/>
        <v>0.26029594938270179</v>
      </c>
      <c r="BD45" s="54">
        <f t="shared" si="24"/>
        <v>0.25614066542446373</v>
      </c>
    </row>
    <row r="46" spans="1:56">
      <c r="A46" s="45"/>
      <c r="B46" s="11"/>
      <c r="C46" s="11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  <c r="Q46" s="54"/>
      <c r="R46" s="54"/>
      <c r="S46" s="54"/>
      <c r="T46" s="54"/>
      <c r="U46" s="54"/>
      <c r="V46" s="54"/>
      <c r="W46" s="54"/>
      <c r="X46" s="54"/>
      <c r="Y46" s="54"/>
      <c r="Z46" s="54"/>
      <c r="AA46" s="54"/>
      <c r="AB46" s="54"/>
      <c r="AC46" s="54"/>
      <c r="AE46" s="54"/>
      <c r="AF46" s="54"/>
      <c r="AG46" s="54"/>
      <c r="AH46" s="54"/>
      <c r="AI46" s="54"/>
      <c r="AJ46" s="54"/>
      <c r="AK46" s="54"/>
      <c r="AL46" s="54"/>
      <c r="AM46" s="54"/>
      <c r="AN46" s="54"/>
      <c r="AO46" s="54"/>
      <c r="AP46" s="54"/>
      <c r="AQ46" s="54"/>
      <c r="AR46" s="54"/>
      <c r="AS46" s="54"/>
      <c r="AT46" s="54"/>
      <c r="AU46" s="54"/>
      <c r="AV46" s="54"/>
      <c r="AW46" s="54"/>
      <c r="AX46" s="54"/>
      <c r="AY46" s="54"/>
      <c r="AZ46" s="54"/>
      <c r="BA46" s="54"/>
      <c r="BB46" s="54"/>
      <c r="BC46" s="54"/>
      <c r="BD46" s="54"/>
    </row>
    <row r="47" spans="1:56">
      <c r="A47" s="45"/>
      <c r="B47" s="45"/>
      <c r="C47" s="11" t="s">
        <v>98</v>
      </c>
      <c r="D47" s="69">
        <f t="shared" ref="D47:H52" si="25">D21/D20</f>
        <v>0.87773610100789123</v>
      </c>
      <c r="E47" s="69">
        <f t="shared" si="25"/>
        <v>0.87827812287418483</v>
      </c>
      <c r="F47" s="69">
        <f t="shared" si="25"/>
        <v>0.87885307890788056</v>
      </c>
      <c r="G47" s="69">
        <f t="shared" si="25"/>
        <v>0.87945853755407211</v>
      </c>
      <c r="H47" s="69">
        <f t="shared" si="25"/>
        <v>0.8801007477687921</v>
      </c>
      <c r="I47" s="69">
        <f t="shared" ref="I47:M52" si="26">I21/I20</f>
        <v>0.8807773467449348</v>
      </c>
      <c r="J47" s="69">
        <f t="shared" si="26"/>
        <v>0.88149239410001623</v>
      </c>
      <c r="K47" s="69">
        <f t="shared" si="26"/>
        <v>0.88224489962889363</v>
      </c>
      <c r="L47" s="69">
        <f t="shared" si="26"/>
        <v>0.8830382105701674</v>
      </c>
      <c r="M47" s="69">
        <f t="shared" si="26"/>
        <v>0.88386890776280636</v>
      </c>
      <c r="N47" s="69">
        <f t="shared" ref="N47:R52" si="27">N21/N20</f>
        <v>0.88474198242616098</v>
      </c>
      <c r="O47" s="69">
        <f t="shared" si="27"/>
        <v>0.88565047723260293</v>
      </c>
      <c r="P47" s="69">
        <f t="shared" si="27"/>
        <v>0.88659772554574712</v>
      </c>
      <c r="Q47" s="69">
        <f t="shared" si="27"/>
        <v>0.88759625766896377</v>
      </c>
      <c r="R47" s="69">
        <f t="shared" si="27"/>
        <v>0.88848751993715258</v>
      </c>
      <c r="S47" s="69">
        <f t="shared" ref="S47:V52" si="28">S21/S20</f>
        <v>0.88913866669025177</v>
      </c>
      <c r="T47" s="69">
        <f t="shared" ref="T47" si="29">T21/T20</f>
        <v>0.88977056881101402</v>
      </c>
      <c r="U47" s="69">
        <f t="shared" si="28"/>
        <v>0.89212192773188759</v>
      </c>
      <c r="V47" s="69">
        <f t="shared" si="28"/>
        <v>0.89422990634799104</v>
      </c>
      <c r="W47" s="69">
        <f t="shared" ref="W47:AA47" si="30">W21/W20</f>
        <v>0.89613825501127709</v>
      </c>
      <c r="X47" s="69">
        <f t="shared" si="30"/>
        <v>0.89788078176431019</v>
      </c>
      <c r="Y47" s="69">
        <f t="shared" si="30"/>
        <v>0.89948333840777028</v>
      </c>
      <c r="Z47" s="69">
        <f t="shared" si="30"/>
        <v>0.90096632720436853</v>
      </c>
      <c r="AA47" s="69">
        <f t="shared" si="30"/>
        <v>0.90234628668599637</v>
      </c>
      <c r="AB47" s="69">
        <f t="shared" ref="AB47" si="31">AB21/AB20</f>
        <v>0.90363568151482609</v>
      </c>
      <c r="AC47" s="69">
        <f t="shared" ref="AC47" si="32">AC21/AC20</f>
        <v>0.90484626683664027</v>
      </c>
      <c r="AD47" s="70"/>
      <c r="AE47" s="69">
        <f t="shared" ref="AE47:BD52" si="33">AE21/AE20</f>
        <v>0.86931435283174607</v>
      </c>
      <c r="AF47" s="69">
        <f t="shared" si="33"/>
        <v>0.86989997521089557</v>
      </c>
      <c r="AG47" s="69">
        <f t="shared" si="33"/>
        <v>0.87051215945628169</v>
      </c>
      <c r="AH47" s="69">
        <f t="shared" si="33"/>
        <v>0.87116128097027012</v>
      </c>
      <c r="AI47" s="69">
        <f t="shared" si="33"/>
        <v>0.87185151359958168</v>
      </c>
      <c r="AJ47" s="69">
        <f t="shared" si="33"/>
        <v>0.87258018548035732</v>
      </c>
      <c r="AK47" s="69">
        <f t="shared" si="33"/>
        <v>0.87334743625541944</v>
      </c>
      <c r="AL47" s="69">
        <f t="shared" si="33"/>
        <v>0.87415578617829215</v>
      </c>
      <c r="AM47" s="69">
        <f t="shared" si="33"/>
        <v>0.87500522105747092</v>
      </c>
      <c r="AN47" s="69">
        <f t="shared" si="33"/>
        <v>0.87589725389415396</v>
      </c>
      <c r="AO47" s="69">
        <f t="shared" si="33"/>
        <v>0.87682003985843915</v>
      </c>
      <c r="AP47" s="69">
        <f t="shared" si="33"/>
        <v>0.87777949156782609</v>
      </c>
      <c r="AQ47" s="69">
        <f t="shared" si="33"/>
        <v>0.87877174694815441</v>
      </c>
      <c r="AR47" s="69">
        <f t="shared" si="33"/>
        <v>0.87980736645525515</v>
      </c>
      <c r="AS47" s="69">
        <f t="shared" si="33"/>
        <v>0.88072533361999494</v>
      </c>
      <c r="AT47" s="69">
        <f t="shared" si="33"/>
        <v>0.88141128035663607</v>
      </c>
      <c r="AU47" s="69">
        <f t="shared" si="33"/>
        <v>0.88207721232813963</v>
      </c>
      <c r="AV47" s="69">
        <f t="shared" si="33"/>
        <v>0.88455676804671457</v>
      </c>
      <c r="AW47" s="69">
        <f t="shared" si="33"/>
        <v>0.88678178347078207</v>
      </c>
      <c r="AX47" s="69">
        <f t="shared" si="33"/>
        <v>0.88879741157372372</v>
      </c>
      <c r="AY47" s="69">
        <f t="shared" si="33"/>
        <v>0.89063863701103085</v>
      </c>
      <c r="AZ47" s="69">
        <f t="shared" si="33"/>
        <v>0.89233259820534949</v>
      </c>
      <c r="BA47" s="69">
        <f t="shared" si="33"/>
        <v>0.89390085340891845</v>
      </c>
      <c r="BB47" s="69">
        <f t="shared" si="33"/>
        <v>0.89536036187292645</v>
      </c>
      <c r="BC47" s="69">
        <f t="shared" si="33"/>
        <v>0.89672520447624871</v>
      </c>
      <c r="BD47" s="69">
        <f t="shared" si="33"/>
        <v>0.89800637459199595</v>
      </c>
    </row>
    <row r="48" spans="1:56">
      <c r="A48" s="45"/>
      <c r="C48" s="11" t="s">
        <v>99</v>
      </c>
      <c r="D48" s="69">
        <f t="shared" si="25"/>
        <v>0.87785344027518331</v>
      </c>
      <c r="E48" s="69">
        <f t="shared" si="25"/>
        <v>0.87839105730414024</v>
      </c>
      <c r="F48" s="69">
        <f t="shared" si="25"/>
        <v>0.87896138328463014</v>
      </c>
      <c r="G48" s="69">
        <f t="shared" si="25"/>
        <v>0.87956197696350424</v>
      </c>
      <c r="H48" s="69">
        <f t="shared" si="25"/>
        <v>0.88019927213979055</v>
      </c>
      <c r="I48" s="69">
        <f t="shared" si="26"/>
        <v>0.8808708748378844</v>
      </c>
      <c r="J48" s="69">
        <f t="shared" si="26"/>
        <v>0.88158102871872857</v>
      </c>
      <c r="K48" s="69">
        <f t="shared" si="26"/>
        <v>0.88232888981790836</v>
      </c>
      <c r="L48" s="69">
        <f t="shared" si="26"/>
        <v>0.88311794126815168</v>
      </c>
      <c r="M48" s="69">
        <f t="shared" si="26"/>
        <v>0.88394516523859168</v>
      </c>
      <c r="N48" s="69">
        <f t="shared" si="27"/>
        <v>0.88481580806214843</v>
      </c>
      <c r="O48" s="69">
        <f t="shared" si="27"/>
        <v>0.88572355600815367</v>
      </c>
      <c r="P48" s="69">
        <f t="shared" si="27"/>
        <v>0.88667236516156467</v>
      </c>
      <c r="Q48" s="69">
        <f t="shared" si="27"/>
        <v>0.88767681646495777</v>
      </c>
      <c r="R48" s="69">
        <f t="shared" si="27"/>
        <v>0.88857660303054309</v>
      </c>
      <c r="S48" s="69">
        <f t="shared" si="28"/>
        <v>0.889226793126629</v>
      </c>
      <c r="T48" s="69">
        <f t="shared" ref="T48" si="34">T22/T21</f>
        <v>0.88985809208269495</v>
      </c>
      <c r="U48" s="69">
        <f t="shared" si="28"/>
        <v>0.89220761993317677</v>
      </c>
      <c r="V48" s="69">
        <f t="shared" si="28"/>
        <v>0.89431471221713044</v>
      </c>
      <c r="W48" s="69">
        <f t="shared" ref="W48:AA48" si="35">W22/W21</f>
        <v>0.89622261645726553</v>
      </c>
      <c r="X48" s="69">
        <f t="shared" si="35"/>
        <v>0.89796509862442042</v>
      </c>
      <c r="Y48" s="69">
        <f t="shared" si="35"/>
        <v>0.89956771081341058</v>
      </c>
      <c r="Z48" s="69">
        <f t="shared" si="35"/>
        <v>0.90105091803804682</v>
      </c>
      <c r="AA48" s="69">
        <f t="shared" si="35"/>
        <v>0.90243122670625053</v>
      </c>
      <c r="AB48" s="69">
        <f t="shared" ref="AB48" si="36">AB22/AB21</f>
        <v>0.90372101384784209</v>
      </c>
      <c r="AC48" s="69">
        <f t="shared" ref="AC48" si="37">AC22/AC21</f>
        <v>0.90493198685314546</v>
      </c>
      <c r="AD48" s="70"/>
      <c r="AE48" s="69">
        <f t="shared" ref="AE48:AT48" si="38">AE22/AE21</f>
        <v>0.86944444606177684</v>
      </c>
      <c r="AF48" s="69">
        <f t="shared" si="38"/>
        <v>0.87002513206627363</v>
      </c>
      <c r="AG48" s="69">
        <f t="shared" si="38"/>
        <v>0.87063201856110572</v>
      </c>
      <c r="AH48" s="69">
        <f t="shared" si="38"/>
        <v>0.87127563984121026</v>
      </c>
      <c r="AI48" s="69">
        <f t="shared" si="38"/>
        <v>0.87196039241789469</v>
      </c>
      <c r="AJ48" s="69">
        <f t="shared" si="38"/>
        <v>0.87268351494114937</v>
      </c>
      <c r="AK48" s="69">
        <f t="shared" si="38"/>
        <v>0.87344533223250942</v>
      </c>
      <c r="AL48" s="69">
        <f t="shared" si="38"/>
        <v>0.87424872460270953</v>
      </c>
      <c r="AM48" s="69">
        <f t="shared" si="38"/>
        <v>0.87509370816170862</v>
      </c>
      <c r="AN48" s="69">
        <f t="shared" si="38"/>
        <v>0.87598216674397789</v>
      </c>
      <c r="AO48" s="69">
        <f t="shared" si="38"/>
        <v>0.87690278045341352</v>
      </c>
      <c r="AP48" s="69">
        <f t="shared" si="38"/>
        <v>0.87786176052391651</v>
      </c>
      <c r="AQ48" s="69">
        <f t="shared" si="38"/>
        <v>0.87885616212146145</v>
      </c>
      <c r="AR48" s="69">
        <f t="shared" si="38"/>
        <v>0.87989863867697626</v>
      </c>
      <c r="AS48" s="69">
        <f t="shared" si="38"/>
        <v>0.88082545732760675</v>
      </c>
      <c r="AT48" s="69">
        <f t="shared" si="38"/>
        <v>0.88151038877589605</v>
      </c>
      <c r="AU48" s="69">
        <f t="shared" si="33"/>
        <v>0.88217553262169468</v>
      </c>
      <c r="AV48" s="69">
        <f t="shared" si="33"/>
        <v>0.88465307420946337</v>
      </c>
      <c r="AW48" s="69">
        <f t="shared" si="33"/>
        <v>0.88687711833555505</v>
      </c>
      <c r="AX48" s="69">
        <f t="shared" si="33"/>
        <v>0.88889221326955081</v>
      </c>
      <c r="AY48" s="69">
        <f t="shared" si="33"/>
        <v>0.89073346108911544</v>
      </c>
      <c r="AZ48" s="69">
        <f t="shared" si="33"/>
        <v>0.89242761811997606</v>
      </c>
      <c r="BA48" s="69">
        <f t="shared" si="33"/>
        <v>0.8939963314475835</v>
      </c>
      <c r="BB48" s="69">
        <f t="shared" si="33"/>
        <v>0.89545638487576718</v>
      </c>
      <c r="BC48" s="69">
        <f t="shared" si="33"/>
        <v>0.89682190410178764</v>
      </c>
      <c r="BD48" s="69">
        <f t="shared" si="33"/>
        <v>0.89810368344353408</v>
      </c>
    </row>
    <row r="49" spans="1:56">
      <c r="A49" s="45"/>
      <c r="C49" s="11" t="s">
        <v>100</v>
      </c>
      <c r="D49" s="69">
        <f t="shared" si="25"/>
        <v>0.87797425899843717</v>
      </c>
      <c r="E49" s="69">
        <f t="shared" si="25"/>
        <v>0.87850740989906317</v>
      </c>
      <c r="F49" s="69">
        <f t="shared" si="25"/>
        <v>0.87907309725830729</v>
      </c>
      <c r="G49" s="69">
        <f t="shared" si="25"/>
        <v>0.87966877515557351</v>
      </c>
      <c r="H49" s="69">
        <f t="shared" si="25"/>
        <v>0.88030110794593475</v>
      </c>
      <c r="I49" s="69">
        <f t="shared" si="26"/>
        <v>0.8809675865944141</v>
      </c>
      <c r="J49" s="69">
        <f t="shared" si="26"/>
        <v>0.88167280054090802</v>
      </c>
      <c r="K49" s="69">
        <f t="shared" si="26"/>
        <v>0.88241585388232668</v>
      </c>
      <c r="L49" s="69">
        <f t="shared" si="26"/>
        <v>0.8832006226396597</v>
      </c>
      <c r="M49" s="69">
        <f t="shared" si="26"/>
        <v>0.88402431150980121</v>
      </c>
      <c r="N49" s="69">
        <f t="shared" si="27"/>
        <v>0.88489242046797822</v>
      </c>
      <c r="O49" s="69">
        <f t="shared" si="27"/>
        <v>0.88579917546320186</v>
      </c>
      <c r="P49" s="69">
        <f t="shared" si="27"/>
        <v>0.88674950920113049</v>
      </c>
      <c r="Q49" s="69">
        <f t="shared" si="27"/>
        <v>0.88776002653098418</v>
      </c>
      <c r="R49" s="69">
        <f t="shared" si="27"/>
        <v>0.88866858453225084</v>
      </c>
      <c r="S49" s="69">
        <f t="shared" si="28"/>
        <v>0.88931798817605034</v>
      </c>
      <c r="T49" s="69">
        <f t="shared" ref="T49" si="39">T23/T22</f>
        <v>0.88994849832618605</v>
      </c>
      <c r="U49" s="69">
        <f t="shared" si="28"/>
        <v>0.89229634627914189</v>
      </c>
      <c r="V49" s="69">
        <f t="shared" si="28"/>
        <v>0.89440245049164846</v>
      </c>
      <c r="W49" s="69">
        <f t="shared" ref="W49:AA49" si="40">W23/W22</f>
        <v>0.8963099643146557</v>
      </c>
      <c r="X49" s="69">
        <f t="shared" si="40"/>
        <v>0.89805221743860275</v>
      </c>
      <c r="Y49" s="69">
        <f t="shared" si="40"/>
        <v>0.89965503536950908</v>
      </c>
      <c r="Z49" s="69">
        <f t="shared" si="40"/>
        <v>0.90113838717056594</v>
      </c>
      <c r="AA49" s="69">
        <f t="shared" si="40"/>
        <v>0.90251891909682391</v>
      </c>
      <c r="AB49" s="69">
        <f t="shared" ref="AB49" si="41">AB23/AB22</f>
        <v>0.90380917618329748</v>
      </c>
      <c r="AC49" s="69">
        <f t="shared" ref="AC49" si="42">AC23/AC22</f>
        <v>0.90502052018875934</v>
      </c>
      <c r="AD49" s="70"/>
      <c r="AE49" s="69">
        <f t="shared" ref="AE49:AT49" si="43">AE23/AE22</f>
        <v>0.86957878753917028</v>
      </c>
      <c r="AF49" s="69">
        <f t="shared" si="43"/>
        <v>0.8701544173111716</v>
      </c>
      <c r="AG49" s="69">
        <f t="shared" si="43"/>
        <v>0.87075597500067459</v>
      </c>
      <c r="AH49" s="69">
        <f t="shared" si="43"/>
        <v>0.87139409314124794</v>
      </c>
      <c r="AI49" s="69">
        <f t="shared" si="43"/>
        <v>0.87207314393909774</v>
      </c>
      <c r="AJ49" s="69">
        <f t="shared" si="43"/>
        <v>0.87279071281455856</v>
      </c>
      <c r="AK49" s="69">
        <f t="shared" si="43"/>
        <v>0.87354703653855115</v>
      </c>
      <c r="AL49" s="69">
        <f t="shared" si="43"/>
        <v>0.87434521947675981</v>
      </c>
      <c r="AM49" s="69">
        <f t="shared" si="43"/>
        <v>0.87518567445101703</v>
      </c>
      <c r="AN49" s="69">
        <f t="shared" si="43"/>
        <v>0.87607046519431531</v>
      </c>
      <c r="AO49" s="69">
        <f t="shared" si="43"/>
        <v>0.87698873053654469</v>
      </c>
      <c r="AP49" s="69">
        <f t="shared" si="43"/>
        <v>0.87794717795537436</v>
      </c>
      <c r="AQ49" s="69">
        <f t="shared" si="43"/>
        <v>0.87894369292119345</v>
      </c>
      <c r="AR49" s="69">
        <f t="shared" si="43"/>
        <v>0.87999311656809065</v>
      </c>
      <c r="AS49" s="69">
        <f t="shared" si="43"/>
        <v>0.88092923905244935</v>
      </c>
      <c r="AT49" s="69">
        <f t="shared" si="43"/>
        <v>0.88161322221290606</v>
      </c>
      <c r="AU49" s="69">
        <f t="shared" si="33"/>
        <v>0.88227752774694546</v>
      </c>
      <c r="AV49" s="69">
        <f t="shared" si="33"/>
        <v>0.88475306497201767</v>
      </c>
      <c r="AW49" s="69">
        <f t="shared" si="33"/>
        <v>0.88697597168242104</v>
      </c>
      <c r="AX49" s="69">
        <f t="shared" si="33"/>
        <v>0.88899077300344898</v>
      </c>
      <c r="AY49" s="69">
        <f t="shared" si="33"/>
        <v>0.89083195118160841</v>
      </c>
      <c r="AZ49" s="69">
        <f t="shared" si="33"/>
        <v>0.89252634047125035</v>
      </c>
      <c r="BA49" s="69">
        <f t="shared" si="33"/>
        <v>0.89409546985171551</v>
      </c>
      <c r="BB49" s="69">
        <f t="shared" si="33"/>
        <v>0.89555607419895633</v>
      </c>
      <c r="BC49" s="69">
        <f t="shared" si="33"/>
        <v>0.89692223168311713</v>
      </c>
      <c r="BD49" s="69">
        <f t="shared" si="33"/>
        <v>0.89820490361110583</v>
      </c>
    </row>
    <row r="50" spans="1:56">
      <c r="A50" s="45"/>
      <c r="C50" s="11" t="s">
        <v>101</v>
      </c>
      <c r="D50" s="69">
        <f t="shared" si="25"/>
        <v>0.87809882749301638</v>
      </c>
      <c r="E50" s="69">
        <f t="shared" si="25"/>
        <v>0.87862748779472866</v>
      </c>
      <c r="F50" s="69">
        <f t="shared" si="25"/>
        <v>0.8791884183548726</v>
      </c>
      <c r="G50" s="69">
        <f t="shared" si="25"/>
        <v>0.87977916205387929</v>
      </c>
      <c r="H50" s="69">
        <f t="shared" si="25"/>
        <v>0.88040634565781417</v>
      </c>
      <c r="I50" s="69">
        <f t="shared" si="26"/>
        <v>0.88106772214484619</v>
      </c>
      <c r="J50" s="69">
        <f t="shared" si="26"/>
        <v>0.88176787790212074</v>
      </c>
      <c r="K50" s="69">
        <f t="shared" si="26"/>
        <v>0.88250602614761831</v>
      </c>
      <c r="L50" s="69">
        <f t="shared" si="26"/>
        <v>0.8832863158184171</v>
      </c>
      <c r="M50" s="69">
        <f t="shared" si="26"/>
        <v>0.88410633072713285</v>
      </c>
      <c r="N50" s="69">
        <f t="shared" si="27"/>
        <v>0.88497183714897409</v>
      </c>
      <c r="O50" s="69">
        <f t="shared" si="27"/>
        <v>0.88587760620797185</v>
      </c>
      <c r="P50" s="69">
        <f t="shared" si="27"/>
        <v>0.88682937170343668</v>
      </c>
      <c r="Q50" s="69">
        <f t="shared" si="27"/>
        <v>0.88784609687068894</v>
      </c>
      <c r="R50" s="69">
        <f t="shared" si="27"/>
        <v>0.88876381137420712</v>
      </c>
      <c r="S50" s="69">
        <f t="shared" si="28"/>
        <v>0.88941222303011114</v>
      </c>
      <c r="T50" s="69">
        <f t="shared" ref="T50" si="44">T24/T23</f>
        <v>0.89004207870866592</v>
      </c>
      <c r="U50" s="69">
        <f t="shared" si="28"/>
        <v>0.89238801043134264</v>
      </c>
      <c r="V50" s="69">
        <f t="shared" si="28"/>
        <v>0.89449324129882601</v>
      </c>
      <c r="W50" s="69">
        <f t="shared" ref="W50:AA50" si="45">W24/W23</f>
        <v>0.89640025065142559</v>
      </c>
      <c r="X50" s="69">
        <f t="shared" si="45"/>
        <v>0.89814240692387448</v>
      </c>
      <c r="Y50" s="69">
        <f t="shared" si="45"/>
        <v>0.89974516821554629</v>
      </c>
      <c r="Z50" s="69">
        <f t="shared" si="45"/>
        <v>0.90122882085929823</v>
      </c>
      <c r="AA50" s="69">
        <f t="shared" si="45"/>
        <v>0.90260970312579114</v>
      </c>
      <c r="AB50" s="69">
        <f t="shared" ref="AB50" si="46">AB24/AB23</f>
        <v>0.90390025129616169</v>
      </c>
      <c r="AC50" s="69">
        <f t="shared" ref="AC50" si="47">AC24/AC23</f>
        <v>0.90511196369446378</v>
      </c>
      <c r="AD50" s="70"/>
      <c r="AE50" s="69">
        <f t="shared" ref="AE50:AT50" si="48">AE24/AE23</f>
        <v>0.86971766506896986</v>
      </c>
      <c r="AF50" s="69">
        <f t="shared" si="48"/>
        <v>0.87028814078089634</v>
      </c>
      <c r="AG50" s="69">
        <f t="shared" si="48"/>
        <v>0.87088430887292501</v>
      </c>
      <c r="AH50" s="69">
        <f t="shared" si="48"/>
        <v>0.87151674399237844</v>
      </c>
      <c r="AI50" s="69">
        <f t="shared" si="48"/>
        <v>0.87219015582755921</v>
      </c>
      <c r="AJ50" s="69">
        <f t="shared" si="48"/>
        <v>0.87290194798316489</v>
      </c>
      <c r="AK50" s="69">
        <f t="shared" si="48"/>
        <v>0.87365259775797677</v>
      </c>
      <c r="AL50" s="69">
        <f t="shared" si="48"/>
        <v>0.87444563133487052</v>
      </c>
      <c r="AM50" s="69">
        <f t="shared" si="48"/>
        <v>0.87528134520932344</v>
      </c>
      <c r="AN50" s="69">
        <f t="shared" si="48"/>
        <v>0.87616241260839545</v>
      </c>
      <c r="AO50" s="69">
        <f t="shared" si="48"/>
        <v>0.87707820959415783</v>
      </c>
      <c r="AP50" s="69">
        <f t="shared" si="48"/>
        <v>0.87803603374792083</v>
      </c>
      <c r="AQ50" s="69">
        <f t="shared" si="48"/>
        <v>0.87903460152322921</v>
      </c>
      <c r="AR50" s="69">
        <f t="shared" si="48"/>
        <v>0.88009110331968532</v>
      </c>
      <c r="AS50" s="69">
        <f t="shared" si="48"/>
        <v>0.88103702241571746</v>
      </c>
      <c r="AT50" s="69">
        <f t="shared" si="48"/>
        <v>0.88171994394208275</v>
      </c>
      <c r="AU50" s="69">
        <f t="shared" si="33"/>
        <v>0.88238345392239448</v>
      </c>
      <c r="AV50" s="69">
        <f t="shared" si="33"/>
        <v>0.88485683461592068</v>
      </c>
      <c r="AW50" s="69">
        <f t="shared" si="33"/>
        <v>0.88707880801945671</v>
      </c>
      <c r="AX50" s="69">
        <f t="shared" si="33"/>
        <v>0.88909310922902762</v>
      </c>
      <c r="AY50" s="69">
        <f t="shared" si="33"/>
        <v>0.89093420161021719</v>
      </c>
      <c r="AZ50" s="69">
        <f t="shared" si="33"/>
        <v>0.89262893001942056</v>
      </c>
      <c r="BA50" s="69">
        <f t="shared" si="33"/>
        <v>0.89419853474783018</v>
      </c>
      <c r="BB50" s="69">
        <f t="shared" si="33"/>
        <v>0.895659699223464</v>
      </c>
      <c r="BC50" s="69">
        <f t="shared" si="33"/>
        <v>0.89702647320624285</v>
      </c>
      <c r="BD50" s="69">
        <f t="shared" si="33"/>
        <v>0.89830981314577407</v>
      </c>
    </row>
    <row r="51" spans="1:56">
      <c r="A51" s="45"/>
      <c r="C51" s="11" t="s">
        <v>102</v>
      </c>
      <c r="D51" s="69">
        <f t="shared" si="25"/>
        <v>0.87822733149910903</v>
      </c>
      <c r="E51" s="69">
        <f t="shared" si="25"/>
        <v>0.87875148458216135</v>
      </c>
      <c r="F51" s="69">
        <f t="shared" si="25"/>
        <v>0.87930755567891838</v>
      </c>
      <c r="G51" s="69">
        <f t="shared" si="25"/>
        <v>0.87989325013897468</v>
      </c>
      <c r="H51" s="69">
        <f t="shared" si="25"/>
        <v>0.88051529591902022</v>
      </c>
      <c r="I51" s="69">
        <f t="shared" si="26"/>
        <v>0.88117135776146482</v>
      </c>
      <c r="J51" s="69">
        <f t="shared" si="26"/>
        <v>0.8818663727537428</v>
      </c>
      <c r="K51" s="69">
        <f t="shared" si="26"/>
        <v>0.88259967015684471</v>
      </c>
      <c r="L51" s="69">
        <f t="shared" si="26"/>
        <v>0.88337525791688254</v>
      </c>
      <c r="M51" s="69">
        <f t="shared" si="26"/>
        <v>0.88419150019259274</v>
      </c>
      <c r="N51" s="69">
        <f t="shared" si="27"/>
        <v>0.88505434229199154</v>
      </c>
      <c r="O51" s="69">
        <f t="shared" si="27"/>
        <v>0.88595896818548647</v>
      </c>
      <c r="P51" s="69">
        <f t="shared" si="27"/>
        <v>0.8869121174452359</v>
      </c>
      <c r="Q51" s="69">
        <f t="shared" si="27"/>
        <v>0.88793505321344202</v>
      </c>
      <c r="R51" s="69">
        <f t="shared" si="27"/>
        <v>0.88886236620576486</v>
      </c>
      <c r="S51" s="69">
        <f t="shared" si="28"/>
        <v>0.88950992597525269</v>
      </c>
      <c r="T51" s="69">
        <f t="shared" ref="T51" si="49">T25/T24</f>
        <v>0.89013902730845873</v>
      </c>
      <c r="U51" s="69">
        <f t="shared" si="28"/>
        <v>0.89248302811455815</v>
      </c>
      <c r="V51" s="69">
        <f t="shared" si="28"/>
        <v>0.89458719734416292</v>
      </c>
      <c r="W51" s="69">
        <f t="shared" ref="W51:AA51" si="50">W25/W24</f>
        <v>0.89649369372700094</v>
      </c>
      <c r="X51" s="69">
        <f t="shared" si="50"/>
        <v>0.8982357008242724</v>
      </c>
      <c r="Y51" s="69">
        <f t="shared" si="50"/>
        <v>0.89983858434856157</v>
      </c>
      <c r="Z51" s="69">
        <f t="shared" si="50"/>
        <v>0.90132238732027381</v>
      </c>
      <c r="AA51" s="69">
        <f t="shared" si="50"/>
        <v>0.90270350982381309</v>
      </c>
      <c r="AB51" s="69">
        <f t="shared" ref="AB51" si="51">AB25/AB24</f>
        <v>0.90399439970380835</v>
      </c>
      <c r="AC51" s="69">
        <f t="shared" ref="AC51" si="52">AC25/AC24</f>
        <v>0.905206462052494</v>
      </c>
      <c r="AD51" s="70"/>
      <c r="AE51" s="69">
        <f t="shared" ref="AE51:AT51" si="53">AE25/AE24</f>
        <v>0.869861235832043</v>
      </c>
      <c r="AF51" s="69">
        <f t="shared" si="53"/>
        <v>0.87042660383680215</v>
      </c>
      <c r="AG51" s="69">
        <f t="shared" si="53"/>
        <v>0.87101726028958815</v>
      </c>
      <c r="AH51" s="69">
        <f t="shared" si="53"/>
        <v>0.8716439501739226</v>
      </c>
      <c r="AI51" s="69">
        <f t="shared" si="53"/>
        <v>0.87231155695454887</v>
      </c>
      <c r="AJ51" s="69">
        <f t="shared" si="53"/>
        <v>0.87301756705527633</v>
      </c>
      <c r="AK51" s="69">
        <f t="shared" si="53"/>
        <v>0.87376247291618525</v>
      </c>
      <c r="AL51" s="69">
        <f t="shared" si="53"/>
        <v>0.87455006678461122</v>
      </c>
      <c r="AM51" s="69">
        <f t="shared" si="53"/>
        <v>0.87538106118019021</v>
      </c>
      <c r="AN51" s="69">
        <f t="shared" si="53"/>
        <v>0.87625808192983712</v>
      </c>
      <c r="AO51" s="69">
        <f t="shared" si="53"/>
        <v>0.87717138018366936</v>
      </c>
      <c r="AP51" s="69">
        <f t="shared" si="53"/>
        <v>0.87812844276846769</v>
      </c>
      <c r="AQ51" s="69">
        <f t="shared" si="53"/>
        <v>0.87912900794019611</v>
      </c>
      <c r="AR51" s="69">
        <f t="shared" si="53"/>
        <v>0.88019279635002823</v>
      </c>
      <c r="AS51" s="69">
        <f t="shared" si="53"/>
        <v>0.88114889902483107</v>
      </c>
      <c r="AT51" s="69">
        <f t="shared" si="53"/>
        <v>0.88183080857676688</v>
      </c>
      <c r="AU51" s="69">
        <f t="shared" si="33"/>
        <v>0.88249342327171831</v>
      </c>
      <c r="AV51" s="69">
        <f t="shared" si="33"/>
        <v>0.88496469632854136</v>
      </c>
      <c r="AW51" s="69">
        <f t="shared" si="33"/>
        <v>0.88718553726407512</v>
      </c>
      <c r="AX51" s="69">
        <f t="shared" si="33"/>
        <v>0.88919948341761945</v>
      </c>
      <c r="AY51" s="69">
        <f t="shared" si="33"/>
        <v>0.89104064214525047</v>
      </c>
      <c r="AZ51" s="69">
        <f t="shared" si="33"/>
        <v>0.89273548010220805</v>
      </c>
      <c r="BA51" s="69">
        <f t="shared" si="33"/>
        <v>0.89430548062122128</v>
      </c>
      <c r="BB51" s="69">
        <f t="shared" si="33"/>
        <v>0.89576724723844159</v>
      </c>
      <c r="BC51" s="69">
        <f t="shared" si="33"/>
        <v>0.89713471320880589</v>
      </c>
      <c r="BD51" s="69">
        <f t="shared" si="33"/>
        <v>0.8984187663528822</v>
      </c>
    </row>
    <row r="52" spans="1:56">
      <c r="A52" s="45"/>
      <c r="C52" s="11" t="s">
        <v>103</v>
      </c>
      <c r="D52" s="69">
        <f t="shared" si="25"/>
        <v>0.87836005897036651</v>
      </c>
      <c r="E52" s="69">
        <f t="shared" si="25"/>
        <v>0.8788794642802914</v>
      </c>
      <c r="F52" s="69">
        <f t="shared" si="25"/>
        <v>0.87943078174733447</v>
      </c>
      <c r="G52" s="69">
        <f t="shared" si="25"/>
        <v>0.88001128916944182</v>
      </c>
      <c r="H52" s="69">
        <f t="shared" si="25"/>
        <v>0.88062806219681444</v>
      </c>
      <c r="I52" s="69">
        <f t="shared" si="26"/>
        <v>0.8812788488043628</v>
      </c>
      <c r="J52" s="69">
        <f t="shared" si="26"/>
        <v>0.88196859002007444</v>
      </c>
      <c r="K52" s="69">
        <f t="shared" si="26"/>
        <v>0.88269672217521911</v>
      </c>
      <c r="L52" s="69">
        <f t="shared" si="26"/>
        <v>0.88346775308743952</v>
      </c>
      <c r="M52" s="69">
        <f t="shared" si="26"/>
        <v>0.88428012490097385</v>
      </c>
      <c r="N52" s="69">
        <f t="shared" si="27"/>
        <v>0.88513992174293477</v>
      </c>
      <c r="O52" s="69">
        <f t="shared" si="27"/>
        <v>0.88604337637269615</v>
      </c>
      <c r="P52" s="69">
        <f t="shared" si="27"/>
        <v>0.88699783378067787</v>
      </c>
      <c r="Q52" s="69">
        <f t="shared" si="27"/>
        <v>0.88802706920814733</v>
      </c>
      <c r="R52" s="69">
        <f t="shared" si="27"/>
        <v>0.88896439623537571</v>
      </c>
      <c r="S52" s="69">
        <f t="shared" si="28"/>
        <v>0.88961090827791367</v>
      </c>
      <c r="T52" s="69">
        <f t="shared" ref="T52" si="54">T26/T25</f>
        <v>0.89023928732484814</v>
      </c>
      <c r="U52" s="69">
        <f t="shared" si="28"/>
        <v>0.89258135380421377</v>
      </c>
      <c r="V52" s="69">
        <f t="shared" si="28"/>
        <v>0.89468448832779746</v>
      </c>
      <c r="W52" s="69">
        <f t="shared" ref="W52:AA52" si="55">W26/W25</f>
        <v>0.89659058989037244</v>
      </c>
      <c r="X52" s="69">
        <f t="shared" si="55"/>
        <v>0.89833235274392609</v>
      </c>
      <c r="Y52" s="69">
        <f t="shared" si="55"/>
        <v>0.89993521734282789</v>
      </c>
      <c r="Z52" s="69">
        <f t="shared" si="55"/>
        <v>0.90141916815482281</v>
      </c>
      <c r="AA52" s="69">
        <f t="shared" si="55"/>
        <v>0.90280052213512374</v>
      </c>
      <c r="AB52" s="69">
        <f t="shared" ref="AB52" si="56">AB26/AB25</f>
        <v>0.90409170632578528</v>
      </c>
      <c r="AC52" s="69">
        <f t="shared" ref="AC52" si="57">AC26/AC25</f>
        <v>0.90530410092139446</v>
      </c>
      <c r="AD52" s="70"/>
      <c r="AE52" s="69">
        <f t="shared" ref="AE52:AT52" si="58">AE26/AE25</f>
        <v>0.87000998818533715</v>
      </c>
      <c r="AF52" s="69">
        <f t="shared" si="58"/>
        <v>0.87057008637519906</v>
      </c>
      <c r="AG52" s="69">
        <f t="shared" si="58"/>
        <v>0.87115509526123036</v>
      </c>
      <c r="AH52" s="69">
        <f t="shared" si="58"/>
        <v>0.87177605906923239</v>
      </c>
      <c r="AI52" s="69">
        <f t="shared" si="58"/>
        <v>0.87243773992943929</v>
      </c>
      <c r="AJ52" s="69">
        <f t="shared" si="58"/>
        <v>0.87313778899128736</v>
      </c>
      <c r="AK52" s="69">
        <f t="shared" si="58"/>
        <v>0.87387682482762064</v>
      </c>
      <c r="AL52" s="69">
        <f t="shared" si="58"/>
        <v>0.87465892001395773</v>
      </c>
      <c r="AM52" s="69">
        <f t="shared" si="58"/>
        <v>0.87548489642701721</v>
      </c>
      <c r="AN52" s="69">
        <f t="shared" si="58"/>
        <v>0.87635795311304632</v>
      </c>
      <c r="AO52" s="69">
        <f t="shared" si="58"/>
        <v>0.87726847906328276</v>
      </c>
      <c r="AP52" s="69">
        <f t="shared" si="58"/>
        <v>0.87822474242056903</v>
      </c>
      <c r="AQ52" s="69">
        <f t="shared" si="58"/>
        <v>0.87922728610064738</v>
      </c>
      <c r="AR52" s="69">
        <f t="shared" si="58"/>
        <v>0.88029837863558613</v>
      </c>
      <c r="AS52" s="69">
        <f t="shared" si="58"/>
        <v>0.88126517864628662</v>
      </c>
      <c r="AT52" s="69">
        <f t="shared" si="58"/>
        <v>0.8819459572802385</v>
      </c>
      <c r="AU52" s="69">
        <f t="shared" si="33"/>
        <v>0.88260780914740733</v>
      </c>
      <c r="AV52" s="69">
        <f t="shared" si="33"/>
        <v>0.88507681353532774</v>
      </c>
      <c r="AW52" s="69">
        <f t="shared" si="33"/>
        <v>0.88729669461217575</v>
      </c>
      <c r="AX52" s="69">
        <f t="shared" si="33"/>
        <v>0.88931012887991501</v>
      </c>
      <c r="AY52" s="69">
        <f t="shared" si="33"/>
        <v>0.89115119215079819</v>
      </c>
      <c r="AZ52" s="69">
        <f t="shared" si="33"/>
        <v>0.89284631352725674</v>
      </c>
      <c r="BA52" s="69">
        <f t="shared" si="33"/>
        <v>0.89441673452684123</v>
      </c>
      <c r="BB52" s="69">
        <f t="shared" si="33"/>
        <v>0.89587903961264614</v>
      </c>
      <c r="BC52" s="69">
        <f t="shared" si="33"/>
        <v>0.89724714895913615</v>
      </c>
      <c r="BD52" s="69">
        <f t="shared" si="33"/>
        <v>0.89853192378619262</v>
      </c>
    </row>
    <row r="53" spans="1:56">
      <c r="A53" s="45"/>
      <c r="C53" s="2" t="s">
        <v>108</v>
      </c>
      <c r="D53" s="69">
        <f t="shared" ref="D53:AC53" si="59">SUM(D47:D52)/6</f>
        <v>0.87804166970733399</v>
      </c>
      <c r="E53" s="69">
        <f t="shared" si="59"/>
        <v>0.87857250445576163</v>
      </c>
      <c r="F53" s="69">
        <f t="shared" si="59"/>
        <v>0.87913571920532396</v>
      </c>
      <c r="G53" s="69">
        <f t="shared" si="59"/>
        <v>0.879728831839241</v>
      </c>
      <c r="H53" s="69">
        <f t="shared" si="59"/>
        <v>0.88035847193802763</v>
      </c>
      <c r="I53" s="69">
        <f t="shared" si="59"/>
        <v>0.88102228948131789</v>
      </c>
      <c r="J53" s="69">
        <f t="shared" si="59"/>
        <v>0.88172484400593187</v>
      </c>
      <c r="K53" s="69">
        <f t="shared" si="59"/>
        <v>0.88246534363480178</v>
      </c>
      <c r="L53" s="69">
        <f t="shared" si="59"/>
        <v>0.88324768355011951</v>
      </c>
      <c r="M53" s="69">
        <f t="shared" si="59"/>
        <v>0.88406939005531637</v>
      </c>
      <c r="N53" s="69">
        <f t="shared" si="59"/>
        <v>0.88493605202336478</v>
      </c>
      <c r="O53" s="69">
        <f t="shared" si="59"/>
        <v>0.88584219324501889</v>
      </c>
      <c r="P53" s="69">
        <f t="shared" si="59"/>
        <v>0.88679315380629864</v>
      </c>
      <c r="Q53" s="69">
        <f t="shared" si="59"/>
        <v>0.88780688665953067</v>
      </c>
      <c r="R53" s="69">
        <f t="shared" si="59"/>
        <v>0.88872054688588242</v>
      </c>
      <c r="S53" s="69">
        <f t="shared" si="59"/>
        <v>0.8893694175460346</v>
      </c>
      <c r="T53" s="69">
        <f t="shared" si="59"/>
        <v>0.88999959209364476</v>
      </c>
      <c r="U53" s="69">
        <f t="shared" si="59"/>
        <v>0.89234638104905351</v>
      </c>
      <c r="V53" s="69">
        <f t="shared" si="59"/>
        <v>0.89445199933792618</v>
      </c>
      <c r="W53" s="69">
        <f t="shared" si="59"/>
        <v>0.89635922834199955</v>
      </c>
      <c r="X53" s="69">
        <f t="shared" si="59"/>
        <v>0.89810142638656787</v>
      </c>
      <c r="Y53" s="69">
        <f t="shared" si="59"/>
        <v>0.89970417574960437</v>
      </c>
      <c r="Z53" s="69">
        <f t="shared" si="59"/>
        <v>0.90118766812456286</v>
      </c>
      <c r="AA53" s="69">
        <f t="shared" si="59"/>
        <v>0.90256836126229978</v>
      </c>
      <c r="AB53" s="69">
        <f t="shared" si="59"/>
        <v>0.90385870481195363</v>
      </c>
      <c r="AC53" s="69">
        <f t="shared" si="59"/>
        <v>0.90507021675781607</v>
      </c>
      <c r="AD53" s="70"/>
      <c r="AE53" s="69">
        <f t="shared" ref="AE53:BD53" si="60">SUM(AE47:AE52)/6</f>
        <v>0.86965441258650722</v>
      </c>
      <c r="AF53" s="69">
        <f t="shared" si="60"/>
        <v>0.87022739259687309</v>
      </c>
      <c r="AG53" s="69">
        <f t="shared" si="60"/>
        <v>0.87082613624030092</v>
      </c>
      <c r="AH53" s="69">
        <f t="shared" si="60"/>
        <v>0.87146129453137711</v>
      </c>
      <c r="AI53" s="69">
        <f t="shared" si="60"/>
        <v>0.87213741711135351</v>
      </c>
      <c r="AJ53" s="69">
        <f t="shared" si="60"/>
        <v>0.87285195287763229</v>
      </c>
      <c r="AK53" s="69">
        <f t="shared" si="60"/>
        <v>0.87360528342137711</v>
      </c>
      <c r="AL53" s="69">
        <f t="shared" si="60"/>
        <v>0.8744007247318667</v>
      </c>
      <c r="AM53" s="69">
        <f t="shared" si="60"/>
        <v>0.87523865108112131</v>
      </c>
      <c r="AN53" s="69">
        <f t="shared" si="60"/>
        <v>0.87612138891395441</v>
      </c>
      <c r="AO53" s="69">
        <f t="shared" si="60"/>
        <v>0.87703826994825107</v>
      </c>
      <c r="AP53" s="69">
        <f t="shared" si="60"/>
        <v>0.8779962748306791</v>
      </c>
      <c r="AQ53" s="69">
        <f t="shared" si="60"/>
        <v>0.87899374959248033</v>
      </c>
      <c r="AR53" s="69">
        <f t="shared" si="60"/>
        <v>0.88004690000093688</v>
      </c>
      <c r="AS53" s="69">
        <f t="shared" si="60"/>
        <v>0.88098852168114783</v>
      </c>
      <c r="AT53" s="69">
        <f t="shared" si="60"/>
        <v>0.88167193352408768</v>
      </c>
      <c r="AU53" s="69">
        <f t="shared" si="60"/>
        <v>0.8823358265063832</v>
      </c>
      <c r="AV53" s="69">
        <f t="shared" si="60"/>
        <v>0.88481020861799753</v>
      </c>
      <c r="AW53" s="69">
        <f t="shared" si="60"/>
        <v>0.88703265223074446</v>
      </c>
      <c r="AX53" s="69">
        <f t="shared" si="60"/>
        <v>0.88904718656221426</v>
      </c>
      <c r="AY53" s="69">
        <f t="shared" si="60"/>
        <v>0.89088834753133683</v>
      </c>
      <c r="AZ53" s="69">
        <f t="shared" si="60"/>
        <v>0.89258288007424358</v>
      </c>
      <c r="BA53" s="69">
        <f t="shared" si="60"/>
        <v>0.89415223410068501</v>
      </c>
      <c r="BB53" s="69">
        <f t="shared" si="60"/>
        <v>0.89561313450370028</v>
      </c>
      <c r="BC53" s="69">
        <f t="shared" si="60"/>
        <v>0.89697961260588965</v>
      </c>
      <c r="BD53" s="69">
        <f t="shared" si="60"/>
        <v>0.89826257748858085</v>
      </c>
    </row>
  </sheetData>
  <pageMargins left="0.511811024" right="0.511811024" top="0.78740157499999996" bottom="0.78740157499999996" header="0.31496062000000002" footer="0.31496062000000002"/>
  <pageSetup paperSize="9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FFC23-37C6-430D-AFCA-E4B3557B5794}">
  <dimension ref="A1:T53"/>
  <sheetViews>
    <sheetView showGridLines="0" showRowColHeaders="0" tabSelected="1" zoomScale="112" zoomScaleNormal="112" workbookViewId="0">
      <selection activeCell="Q6" sqref="Q6"/>
    </sheetView>
  </sheetViews>
  <sheetFormatPr defaultRowHeight="12.75"/>
  <cols>
    <col min="2" max="2" width="31.140625" customWidth="1"/>
    <col min="4" max="9" width="12.42578125" customWidth="1"/>
    <col min="10" max="10" width="3.7109375" customWidth="1"/>
    <col min="11" max="16" width="12.42578125" customWidth="1"/>
  </cols>
  <sheetData>
    <row r="1" spans="1:16">
      <c r="I1" t="s">
        <v>97</v>
      </c>
    </row>
    <row r="2" spans="1:16">
      <c r="A2" s="19"/>
      <c r="B2" s="20" t="s">
        <v>39</v>
      </c>
      <c r="C2" s="20"/>
      <c r="D2" s="8" t="s">
        <v>43</v>
      </c>
      <c r="E2" s="8" t="s">
        <v>43</v>
      </c>
      <c r="F2" s="8" t="s">
        <v>43</v>
      </c>
      <c r="G2" s="8" t="s">
        <v>43</v>
      </c>
      <c r="H2" s="8" t="s">
        <v>43</v>
      </c>
      <c r="I2" s="8" t="s">
        <v>43</v>
      </c>
      <c r="J2" s="8"/>
      <c r="K2" s="8" t="s">
        <v>43</v>
      </c>
      <c r="L2" s="8" t="s">
        <v>43</v>
      </c>
      <c r="M2" s="8" t="s">
        <v>43</v>
      </c>
      <c r="N2" s="8" t="s">
        <v>43</v>
      </c>
      <c r="O2" s="8" t="s">
        <v>43</v>
      </c>
      <c r="P2" s="8" t="s">
        <v>43</v>
      </c>
    </row>
    <row r="3" spans="1:16">
      <c r="A3" s="21" t="s">
        <v>44</v>
      </c>
      <c r="B3" s="20" t="s">
        <v>45</v>
      </c>
      <c r="C3" s="20"/>
      <c r="D3">
        <v>3039750</v>
      </c>
      <c r="E3">
        <f t="shared" ref="E3:I3" si="0">30*101325</f>
        <v>3039750</v>
      </c>
      <c r="F3">
        <f t="shared" si="0"/>
        <v>3039750</v>
      </c>
      <c r="G3">
        <f t="shared" si="0"/>
        <v>3039750</v>
      </c>
      <c r="H3">
        <f t="shared" si="0"/>
        <v>3039750</v>
      </c>
      <c r="I3">
        <f t="shared" si="0"/>
        <v>3039750</v>
      </c>
      <c r="K3">
        <f t="shared" ref="K3:P3" si="1">40*101325</f>
        <v>4053000</v>
      </c>
      <c r="L3">
        <f t="shared" si="1"/>
        <v>4053000</v>
      </c>
      <c r="M3">
        <f t="shared" si="1"/>
        <v>4053000</v>
      </c>
      <c r="N3">
        <f t="shared" si="1"/>
        <v>4053000</v>
      </c>
      <c r="O3">
        <f t="shared" si="1"/>
        <v>4053000</v>
      </c>
      <c r="P3">
        <f t="shared" si="1"/>
        <v>4053000</v>
      </c>
    </row>
    <row r="4" spans="1:16">
      <c r="A4" s="21" t="s">
        <v>46</v>
      </c>
      <c r="B4" s="20" t="s">
        <v>47</v>
      </c>
      <c r="C4" s="20"/>
      <c r="D4">
        <v>10</v>
      </c>
      <c r="E4">
        <v>10</v>
      </c>
      <c r="F4">
        <v>10</v>
      </c>
      <c r="G4">
        <v>10</v>
      </c>
      <c r="H4">
        <v>10</v>
      </c>
      <c r="I4">
        <v>10</v>
      </c>
      <c r="K4">
        <v>10</v>
      </c>
      <c r="L4">
        <v>10</v>
      </c>
      <c r="M4">
        <v>10</v>
      </c>
      <c r="N4">
        <v>10</v>
      </c>
      <c r="O4">
        <v>10</v>
      </c>
      <c r="P4">
        <v>10</v>
      </c>
    </row>
    <row r="5" spans="1:16">
      <c r="A5" s="21" t="s">
        <v>46</v>
      </c>
    </row>
    <row r="6" spans="1:16">
      <c r="A6" s="21" t="s">
        <v>48</v>
      </c>
      <c r="B6" s="22" t="s">
        <v>49</v>
      </c>
      <c r="C6" s="22"/>
    </row>
    <row r="7" spans="1:16" ht="15.75">
      <c r="A7" s="21"/>
      <c r="B7" s="20" t="s">
        <v>50</v>
      </c>
      <c r="C7" s="20"/>
      <c r="D7">
        <v>1.8021799999999999</v>
      </c>
      <c r="E7">
        <v>1.8519300000000001</v>
      </c>
      <c r="F7">
        <v>1.85859</v>
      </c>
      <c r="G7">
        <v>1.8805499999999999</v>
      </c>
      <c r="H7">
        <v>1.88523</v>
      </c>
      <c r="I7">
        <v>2.0524499999999999</v>
      </c>
      <c r="K7">
        <v>1.8021799999999999</v>
      </c>
      <c r="L7">
        <v>1.8519300000000001</v>
      </c>
      <c r="M7">
        <v>1.85859</v>
      </c>
      <c r="N7">
        <v>1.8805499999999999</v>
      </c>
      <c r="O7">
        <v>1.88523</v>
      </c>
      <c r="P7">
        <v>2.0524499999999999</v>
      </c>
    </row>
    <row r="8" spans="1:16" ht="15.75">
      <c r="A8" s="23" t="s">
        <v>51</v>
      </c>
      <c r="B8" s="20" t="s">
        <v>6</v>
      </c>
      <c r="C8" s="20"/>
      <c r="D8">
        <f t="shared" ref="D8:I8" si="2">D7/(1+D7)</f>
        <v>0.64313498775953004</v>
      </c>
      <c r="E8">
        <f t="shared" si="2"/>
        <v>0.64936025779033846</v>
      </c>
      <c r="F8">
        <f t="shared" si="2"/>
        <v>0.65017718525566803</v>
      </c>
      <c r="G8">
        <f t="shared" si="2"/>
        <v>0.65284407491624863</v>
      </c>
      <c r="H8">
        <f t="shared" si="2"/>
        <v>0.65340718071003001</v>
      </c>
      <c r="I8">
        <f t="shared" si="2"/>
        <v>0.67239430621304197</v>
      </c>
      <c r="K8">
        <f t="shared" ref="K8:P8" si="3">K7/(1+K7)</f>
        <v>0.64313498775953004</v>
      </c>
      <c r="L8">
        <f t="shared" si="3"/>
        <v>0.64936025779033846</v>
      </c>
      <c r="M8">
        <f t="shared" si="3"/>
        <v>0.65017718525566803</v>
      </c>
      <c r="N8">
        <f t="shared" si="3"/>
        <v>0.65284407491624863</v>
      </c>
      <c r="O8">
        <f t="shared" si="3"/>
        <v>0.65340718071003001</v>
      </c>
      <c r="P8">
        <f t="shared" si="3"/>
        <v>0.67239430621304197</v>
      </c>
    </row>
    <row r="9" spans="1:16">
      <c r="A9" s="24"/>
      <c r="B9" s="20" t="s">
        <v>7</v>
      </c>
      <c r="C9" s="20"/>
      <c r="D9">
        <f t="shared" ref="D9:I9" si="4">1/(1+D7)</f>
        <v>0.35686501224046996</v>
      </c>
      <c r="E9">
        <f t="shared" si="4"/>
        <v>0.35063974220966149</v>
      </c>
      <c r="F9">
        <f t="shared" si="4"/>
        <v>0.34982281474433202</v>
      </c>
      <c r="G9">
        <f t="shared" si="4"/>
        <v>0.34715592508375137</v>
      </c>
      <c r="H9">
        <f t="shared" si="4"/>
        <v>0.34659281928996993</v>
      </c>
      <c r="I9">
        <f t="shared" si="4"/>
        <v>0.32760569378695803</v>
      </c>
      <c r="K9">
        <f t="shared" ref="K9:P9" si="5">1/(1+K7)</f>
        <v>0.35686501224046996</v>
      </c>
      <c r="L9">
        <f t="shared" si="5"/>
        <v>0.35063974220966149</v>
      </c>
      <c r="M9">
        <f t="shared" si="5"/>
        <v>0.34982281474433202</v>
      </c>
      <c r="N9">
        <f t="shared" si="5"/>
        <v>0.34715592508375137</v>
      </c>
      <c r="O9">
        <f t="shared" si="5"/>
        <v>0.34659281928996993</v>
      </c>
      <c r="P9">
        <f t="shared" si="5"/>
        <v>0.32760569378695803</v>
      </c>
    </row>
    <row r="10" spans="1:16" ht="15.75">
      <c r="B10" s="20" t="s">
        <v>52</v>
      </c>
      <c r="D10">
        <f t="shared" ref="D10:P10" si="6">D4*D9</f>
        <v>3.5686501224046996</v>
      </c>
      <c r="E10">
        <f t="shared" si="6"/>
        <v>3.5063974220966148</v>
      </c>
      <c r="F10">
        <f t="shared" si="6"/>
        <v>3.4982281474433203</v>
      </c>
      <c r="G10">
        <f t="shared" si="6"/>
        <v>3.4715592508375135</v>
      </c>
      <c r="H10">
        <f t="shared" si="6"/>
        <v>3.4659281928996992</v>
      </c>
      <c r="I10">
        <f t="shared" si="6"/>
        <v>3.2760569378695803</v>
      </c>
      <c r="K10">
        <f t="shared" si="6"/>
        <v>3.5686501224046996</v>
      </c>
      <c r="L10">
        <f t="shared" si="6"/>
        <v>3.5063974220966148</v>
      </c>
      <c r="M10">
        <f t="shared" si="6"/>
        <v>3.4982281474433203</v>
      </c>
      <c r="N10">
        <f t="shared" si="6"/>
        <v>3.4715592508375135</v>
      </c>
      <c r="O10">
        <f t="shared" si="6"/>
        <v>3.4659281928996992</v>
      </c>
      <c r="P10">
        <f t="shared" si="6"/>
        <v>3.2760569378695803</v>
      </c>
    </row>
    <row r="11" spans="1:16"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</row>
    <row r="12" spans="1:16">
      <c r="B12" s="20" t="s">
        <v>9</v>
      </c>
      <c r="C12" s="20"/>
      <c r="D12" s="8" t="s">
        <v>11</v>
      </c>
      <c r="E12" s="8" t="s">
        <v>11</v>
      </c>
      <c r="F12" s="8" t="s">
        <v>11</v>
      </c>
      <c r="G12" s="8" t="s">
        <v>11</v>
      </c>
      <c r="H12" s="8" t="s">
        <v>11</v>
      </c>
      <c r="I12" s="8" t="s">
        <v>11</v>
      </c>
      <c r="J12" s="8"/>
      <c r="K12" s="8" t="s">
        <v>11</v>
      </c>
      <c r="L12" s="8" t="s">
        <v>11</v>
      </c>
      <c r="M12" s="8" t="s">
        <v>11</v>
      </c>
      <c r="N12" s="8" t="s">
        <v>11</v>
      </c>
      <c r="O12" s="8" t="s">
        <v>11</v>
      </c>
      <c r="P12" s="8" t="s">
        <v>11</v>
      </c>
    </row>
    <row r="13" spans="1:16"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</row>
    <row r="14" spans="1:16">
      <c r="A14" s="44"/>
      <c r="B14" s="22" t="s">
        <v>53</v>
      </c>
      <c r="C14" s="22"/>
      <c r="D14" s="8"/>
      <c r="E14" s="8"/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</row>
    <row r="15" spans="1:16" ht="15.75">
      <c r="A15" s="21" t="s">
        <v>54</v>
      </c>
      <c r="B15" s="20" t="s">
        <v>55</v>
      </c>
      <c r="C15" s="20"/>
      <c r="D15" s="58">
        <v>0.36676714999999999</v>
      </c>
      <c r="E15" s="58">
        <v>0.28955666000000002</v>
      </c>
      <c r="F15" s="58">
        <v>0.27926798000000003</v>
      </c>
      <c r="G15" s="58">
        <v>0.24637231000000001</v>
      </c>
      <c r="H15" s="58">
        <v>0.23955913000000001</v>
      </c>
      <c r="I15" s="58">
        <v>3.1443523000000001E-2</v>
      </c>
      <c r="J15" s="58"/>
      <c r="K15" s="58">
        <v>0.32584784</v>
      </c>
      <c r="L15" s="58">
        <v>0.25107839999999998</v>
      </c>
      <c r="M15" s="58">
        <v>0.24201518</v>
      </c>
      <c r="N15" s="58">
        <v>0.21436781999999999</v>
      </c>
      <c r="O15" s="58">
        <v>0.20812043999999999</v>
      </c>
      <c r="P15" s="58">
        <v>2.5749243000000002E-2</v>
      </c>
    </row>
    <row r="16" spans="1:16" ht="15.75">
      <c r="A16" s="21"/>
      <c r="B16" s="20" t="s">
        <v>56</v>
      </c>
      <c r="C16" s="20"/>
      <c r="D16" s="58">
        <v>0</v>
      </c>
      <c r="E16" s="58">
        <v>1.4118415999999999E-4</v>
      </c>
      <c r="F16" s="58">
        <v>1.3685450000000001E-4</v>
      </c>
      <c r="G16" s="58">
        <v>1.2271702E-4</v>
      </c>
      <c r="H16" s="58">
        <v>1.1973147E-4</v>
      </c>
      <c r="I16" s="58">
        <v>0</v>
      </c>
      <c r="J16" s="58"/>
      <c r="K16" s="58">
        <v>2.7388975999999998E-4</v>
      </c>
      <c r="L16" s="58">
        <v>0</v>
      </c>
      <c r="M16" s="58">
        <v>0</v>
      </c>
      <c r="N16" s="58">
        <v>1.9080202000000001E-4</v>
      </c>
      <c r="O16" s="58">
        <v>1.8585187E-4</v>
      </c>
      <c r="P16" s="58">
        <v>0</v>
      </c>
    </row>
    <row r="17" spans="1:20" ht="15.75">
      <c r="A17" s="21" t="s">
        <v>57</v>
      </c>
      <c r="B17" s="20" t="s">
        <v>58</v>
      </c>
      <c r="C17" s="20"/>
      <c r="D17" s="58">
        <v>3.1287997000000001</v>
      </c>
      <c r="E17" s="58">
        <v>3.1545361000000001</v>
      </c>
      <c r="F17" s="58">
        <v>3.1581755</v>
      </c>
      <c r="G17" s="58">
        <v>3.1694211000000001</v>
      </c>
      <c r="H17" s="58">
        <v>3.1716744000000001</v>
      </c>
      <c r="I17" s="58">
        <v>3.2288594000000002</v>
      </c>
      <c r="J17" s="58"/>
      <c r="K17" s="58">
        <v>3.1193452000000002</v>
      </c>
      <c r="L17" s="58">
        <v>3.1510118999999999</v>
      </c>
      <c r="M17" s="58">
        <v>3.1544153000000001</v>
      </c>
      <c r="N17" s="58">
        <v>3.1634414999999998</v>
      </c>
      <c r="O17" s="58">
        <v>3.1659014000000001</v>
      </c>
      <c r="P17" s="58">
        <v>3.2234416000000001</v>
      </c>
    </row>
    <row r="18" spans="1:20" ht="15.75">
      <c r="A18" s="21"/>
      <c r="B18" s="20" t="s">
        <v>59</v>
      </c>
      <c r="C18" s="20"/>
      <c r="D18" s="58">
        <v>3.6541661000000003E-2</v>
      </c>
      <c r="E18" s="58">
        <v>3.1152346000000001E-2</v>
      </c>
      <c r="F18" s="58">
        <v>3.0392323999999998E-2</v>
      </c>
      <c r="G18" s="58">
        <v>2.7882904E-2</v>
      </c>
      <c r="H18" s="58">
        <v>2.7347336E-2</v>
      </c>
      <c r="I18" s="58">
        <v>7.8770178000000003E-3</v>
      </c>
      <c r="J18" s="58"/>
      <c r="K18" s="58">
        <v>6.1728523E-2</v>
      </c>
      <c r="L18" s="58">
        <v>5.2153584000000003E-2</v>
      </c>
      <c r="M18" s="58">
        <v>5.0898842999999999E-2</v>
      </c>
      <c r="N18" s="58">
        <v>4.6874961E-2</v>
      </c>
      <c r="O18" s="58">
        <v>4.5953173999999999E-2</v>
      </c>
      <c r="P18" s="58">
        <v>1.3433028E-2</v>
      </c>
      <c r="T18" t="s">
        <v>120</v>
      </c>
    </row>
    <row r="19" spans="1:20">
      <c r="A19" s="21" t="s">
        <v>60</v>
      </c>
      <c r="B19" s="45"/>
      <c r="C19" s="45"/>
      <c r="D19" s="47"/>
      <c r="E19" s="47"/>
      <c r="F19" s="47"/>
      <c r="G19" s="47"/>
      <c r="H19" s="47"/>
      <c r="I19" s="47"/>
      <c r="J19" s="47"/>
      <c r="K19" s="47"/>
      <c r="L19" s="47"/>
      <c r="M19" s="47"/>
      <c r="N19" s="47"/>
      <c r="O19" s="47"/>
      <c r="P19" s="47"/>
    </row>
    <row r="20" spans="1:20" ht="15.75">
      <c r="A20" s="21"/>
      <c r="B20" s="20" t="s">
        <v>61</v>
      </c>
      <c r="C20" s="11">
        <v>5</v>
      </c>
      <c r="D20" s="58">
        <v>2.5766226999999999E-2</v>
      </c>
      <c r="E20" s="58">
        <v>2.5671647999999998E-2</v>
      </c>
      <c r="F20" s="58">
        <v>2.5658670000000001E-2</v>
      </c>
      <c r="G20" s="58">
        <v>2.5607185000000001E-2</v>
      </c>
      <c r="H20" s="58">
        <v>2.5594542000000001E-2</v>
      </c>
      <c r="I20" s="58">
        <v>2.4801295000000001E-2</v>
      </c>
      <c r="J20" s="58"/>
      <c r="K20" s="58">
        <v>2.8526972000000001E-2</v>
      </c>
      <c r="L20" s="58">
        <v>2.8441471999999999E-2</v>
      </c>
      <c r="M20" s="58">
        <v>2.8421432999999999E-2</v>
      </c>
      <c r="N20" s="58">
        <v>2.8335642000000001E-2</v>
      </c>
      <c r="O20" s="58">
        <v>2.8320688E-2</v>
      </c>
      <c r="P20" s="58">
        <v>2.7379766999999999E-2</v>
      </c>
    </row>
    <row r="21" spans="1:20" ht="15.75">
      <c r="A21" s="21" t="s">
        <v>48</v>
      </c>
      <c r="B21" s="20" t="s">
        <v>62</v>
      </c>
      <c r="C21" s="11">
        <v>6</v>
      </c>
      <c r="D21" s="58">
        <v>2.2753478000000001E-2</v>
      </c>
      <c r="E21" s="58">
        <v>2.2691218999999999E-2</v>
      </c>
      <c r="F21" s="58">
        <v>2.2682681E-2</v>
      </c>
      <c r="G21" s="58">
        <v>2.2646941E-2</v>
      </c>
      <c r="H21" s="58">
        <v>2.2637866E-2</v>
      </c>
      <c r="I21" s="58">
        <v>2.2014774000000001E-2</v>
      </c>
      <c r="J21" s="58"/>
      <c r="K21" s="58">
        <v>2.4962308999999998E-2</v>
      </c>
      <c r="L21" s="58">
        <v>2.4912804E-2</v>
      </c>
      <c r="M21" s="58">
        <v>2.4898700999999999E-2</v>
      </c>
      <c r="N21" s="58">
        <v>2.48349E-2</v>
      </c>
      <c r="O21" s="58">
        <v>2.4824273000000001E-2</v>
      </c>
      <c r="P21" s="58">
        <v>2.4090368000000001E-2</v>
      </c>
    </row>
    <row r="22" spans="1:20" ht="15.75">
      <c r="A22" s="21"/>
      <c r="B22" s="20" t="s">
        <v>63</v>
      </c>
      <c r="C22" s="11">
        <v>7</v>
      </c>
      <c r="D22" s="58">
        <v>2.0094807999999999E-2</v>
      </c>
      <c r="E22" s="58">
        <v>2.005854E-2</v>
      </c>
      <c r="F22" s="58">
        <v>2.0053577E-2</v>
      </c>
      <c r="G22" s="58">
        <v>2.0030599E-2</v>
      </c>
      <c r="H22" s="58">
        <v>2.0024429999999999E-2</v>
      </c>
      <c r="I22" s="58">
        <v>1.9543113000000001E-2</v>
      </c>
      <c r="J22" s="58"/>
      <c r="K22" s="58">
        <v>2.1845282000000001E-2</v>
      </c>
      <c r="L22" s="58">
        <v>2.1824044000000001E-2</v>
      </c>
      <c r="M22" s="58">
        <v>2.1814701999999998E-2</v>
      </c>
      <c r="N22" s="58">
        <v>2.1768730999999999E-2</v>
      </c>
      <c r="O22" s="58">
        <v>2.1761584E-2</v>
      </c>
      <c r="P22" s="58">
        <v>2.1198369000000002E-2</v>
      </c>
    </row>
    <row r="23" spans="1:20" ht="15.75">
      <c r="A23" s="21" t="s">
        <v>64</v>
      </c>
      <c r="B23" s="20" t="s">
        <v>65</v>
      </c>
      <c r="C23" s="11">
        <v>8</v>
      </c>
      <c r="D23" s="58">
        <v>1.7748453000000001E-2</v>
      </c>
      <c r="E23" s="58">
        <v>1.7732893999999999E-2</v>
      </c>
      <c r="F23" s="58">
        <v>1.7730782E-2</v>
      </c>
      <c r="G23" s="58">
        <v>1.7718066000000001E-2</v>
      </c>
      <c r="H23" s="58">
        <v>1.7714247999999998E-2</v>
      </c>
      <c r="I23" s="58">
        <v>1.7350589E-2</v>
      </c>
      <c r="J23" s="58"/>
      <c r="K23" s="58">
        <v>1.9119481000000001E-2</v>
      </c>
      <c r="L23" s="58">
        <v>1.9120161E-2</v>
      </c>
      <c r="M23" s="58">
        <v>1.9114608000000002E-2</v>
      </c>
      <c r="N23" s="58">
        <v>1.9083005E-2</v>
      </c>
      <c r="O23" s="58">
        <v>1.9078636E-2</v>
      </c>
      <c r="P23" s="58">
        <v>1.8655563999999999E-2</v>
      </c>
    </row>
    <row r="24" spans="1:20" ht="15.75">
      <c r="A24" s="21"/>
      <c r="B24" s="20" t="s">
        <v>66</v>
      </c>
      <c r="C24" s="11">
        <v>9</v>
      </c>
      <c r="D24" s="58">
        <v>1.5677587E-2</v>
      </c>
      <c r="E24" s="58">
        <v>1.5678342000000001E-2</v>
      </c>
      <c r="F24" s="58">
        <v>1.5678481000000001E-2</v>
      </c>
      <c r="G24" s="58">
        <v>1.5673937999999998E-2</v>
      </c>
      <c r="H24" s="58">
        <v>1.5672005999999999E-2</v>
      </c>
      <c r="I24" s="58">
        <v>1.5405543000000001E-2</v>
      </c>
      <c r="J24" s="58"/>
      <c r="K24" s="58">
        <v>1.6735626E-2</v>
      </c>
      <c r="L24" s="58">
        <v>1.6753029999999999E-2</v>
      </c>
      <c r="M24" s="58">
        <v>1.6750462000000001E-2</v>
      </c>
      <c r="N24" s="58">
        <v>1.6730353E-2</v>
      </c>
      <c r="O24" s="58">
        <v>1.6728182000000001E-2</v>
      </c>
      <c r="P24" s="58">
        <v>1.6419616000000001E-2</v>
      </c>
    </row>
    <row r="25" spans="1:20" ht="15.75">
      <c r="A25" s="21" t="s">
        <v>60</v>
      </c>
      <c r="B25" s="20" t="s">
        <v>67</v>
      </c>
      <c r="C25" s="11">
        <v>10</v>
      </c>
      <c r="D25" s="58">
        <v>1.3849738E-2</v>
      </c>
      <c r="E25" s="58">
        <v>1.3863166999999999E-2</v>
      </c>
      <c r="F25" s="58">
        <v>1.3865057E-2</v>
      </c>
      <c r="G25" s="58">
        <v>1.3866946E-2</v>
      </c>
      <c r="H25" s="58">
        <v>1.3866513E-2</v>
      </c>
      <c r="I25" s="58">
        <v>1.367992E-2</v>
      </c>
      <c r="J25" s="58"/>
      <c r="K25" s="58">
        <v>1.4650659999999999E-2</v>
      </c>
      <c r="L25" s="58">
        <v>1.4680558E-2</v>
      </c>
      <c r="M25" s="58">
        <v>1.4680314E-2</v>
      </c>
      <c r="N25" s="58">
        <v>1.4669321000000001E-2</v>
      </c>
      <c r="O25" s="58">
        <v>1.4668868E-2</v>
      </c>
      <c r="P25" s="58">
        <v>1.4453334999999999E-2</v>
      </c>
    </row>
    <row r="26" spans="1:20" ht="15.75">
      <c r="A26" s="21"/>
      <c r="B26" s="20" t="s">
        <v>68</v>
      </c>
      <c r="C26" s="11">
        <v>11</v>
      </c>
      <c r="D26" s="58">
        <v>1.2236276000000001E-2</v>
      </c>
      <c r="E26" s="58">
        <v>1.2259371999999999E-2</v>
      </c>
      <c r="F26" s="58">
        <v>1.2262598E-2</v>
      </c>
      <c r="G26" s="58">
        <v>1.2269477000000001E-2</v>
      </c>
      <c r="H26" s="58">
        <v>1.2270219000000001E-2</v>
      </c>
      <c r="I26" s="58">
        <v>1.2148856E-2</v>
      </c>
      <c r="J26" s="58"/>
      <c r="K26" s="58">
        <v>1.2826964E-2</v>
      </c>
      <c r="L26" s="58">
        <v>1.2865929999999999E-2</v>
      </c>
      <c r="M26" s="58">
        <v>1.2867468999999999E-2</v>
      </c>
      <c r="N26" s="58">
        <v>1.2863627000000001E-2</v>
      </c>
      <c r="O26" s="58">
        <v>1.2864498E-2</v>
      </c>
      <c r="P26" s="58">
        <v>1.2724055E-2</v>
      </c>
    </row>
    <row r="27" spans="1:20" ht="14.25">
      <c r="A27" s="21" t="s">
        <v>69</v>
      </c>
      <c r="B27" s="28" t="s">
        <v>70</v>
      </c>
      <c r="C27" s="20"/>
      <c r="D27" s="71">
        <f t="shared" ref="D27:P27" si="7">SUM(D20:D26)</f>
        <v>0.12812656699999997</v>
      </c>
      <c r="E27" s="71">
        <f t="shared" si="7"/>
        <v>0.12795518199999997</v>
      </c>
      <c r="F27" s="71">
        <f t="shared" si="7"/>
        <v>0.12793184600000002</v>
      </c>
      <c r="G27" s="71">
        <f t="shared" si="7"/>
        <v>0.12781315200000001</v>
      </c>
      <c r="H27" s="71">
        <f t="shared" si="7"/>
        <v>0.12777982400000001</v>
      </c>
      <c r="I27" s="71">
        <f t="shared" si="7"/>
        <v>0.12494409000000001</v>
      </c>
      <c r="J27" s="71"/>
      <c r="K27" s="71">
        <f t="shared" si="7"/>
        <v>0.138667294</v>
      </c>
      <c r="L27" s="71">
        <f t="shared" si="7"/>
        <v>0.138597999</v>
      </c>
      <c r="M27" s="71">
        <f t="shared" si="7"/>
        <v>0.138547689</v>
      </c>
      <c r="N27" s="71">
        <f t="shared" si="7"/>
        <v>0.13828557899999999</v>
      </c>
      <c r="O27" s="71">
        <f t="shared" si="7"/>
        <v>0.13824672900000001</v>
      </c>
      <c r="P27" s="71">
        <f t="shared" si="7"/>
        <v>0.134921074</v>
      </c>
    </row>
    <row r="28" spans="1:20">
      <c r="A28" s="21"/>
      <c r="B28" s="20"/>
      <c r="C28" s="20"/>
      <c r="D28" s="71"/>
      <c r="E28" s="71"/>
      <c r="F28" s="71"/>
      <c r="G28" s="71"/>
      <c r="H28" s="71"/>
      <c r="I28" s="71"/>
      <c r="J28" s="71"/>
      <c r="K28" s="71"/>
      <c r="L28" s="71"/>
      <c r="M28" s="71"/>
      <c r="N28" s="71"/>
      <c r="O28" s="71"/>
      <c r="P28" s="71"/>
    </row>
    <row r="29" spans="1:20" ht="15.75">
      <c r="A29" s="23" t="s">
        <v>71</v>
      </c>
      <c r="B29" s="20" t="s">
        <v>72</v>
      </c>
      <c r="C29" s="20"/>
      <c r="D29" s="58">
        <v>0.13769645999999999</v>
      </c>
      <c r="E29" s="58">
        <v>0.13902001</v>
      </c>
      <c r="F29" s="58">
        <v>0.13920698000000001</v>
      </c>
      <c r="G29" s="58">
        <v>0.13979554</v>
      </c>
      <c r="H29" s="58">
        <v>0.1399157</v>
      </c>
      <c r="I29" s="58">
        <v>0.14349677</v>
      </c>
      <c r="J29" s="72"/>
      <c r="K29" s="58">
        <v>0.13403551999999999</v>
      </c>
      <c r="L29" s="58">
        <v>0.13541522</v>
      </c>
      <c r="M29" s="58">
        <v>0.13556847</v>
      </c>
      <c r="N29" s="58">
        <v>0.13598858999999999</v>
      </c>
      <c r="O29" s="58">
        <v>0.13609959999999999</v>
      </c>
      <c r="P29" s="58">
        <v>0.13909537999999999</v>
      </c>
    </row>
    <row r="30" spans="1:20">
      <c r="A30" s="51"/>
      <c r="B30" s="20"/>
      <c r="C30" s="20"/>
      <c r="D30" s="71"/>
      <c r="E30" s="71"/>
      <c r="F30" s="71"/>
      <c r="G30" s="71"/>
      <c r="H30" s="71"/>
      <c r="I30" s="71"/>
      <c r="J30" s="71"/>
      <c r="K30" s="71"/>
      <c r="L30" s="71"/>
      <c r="M30" s="71"/>
      <c r="N30" s="71"/>
      <c r="O30" s="71"/>
      <c r="P30" s="71"/>
    </row>
    <row r="31" spans="1:20" ht="15.75">
      <c r="A31" s="32"/>
      <c r="B31" s="33" t="s">
        <v>73</v>
      </c>
      <c r="C31" s="33"/>
      <c r="D31" s="73">
        <f t="shared" ref="D31:P31" si="8">SUM(D15:D18)+D27+D29</f>
        <v>3.7979315379999994</v>
      </c>
      <c r="E31" s="73">
        <f t="shared" si="8"/>
        <v>3.7423614821599998</v>
      </c>
      <c r="F31" s="73">
        <f t="shared" si="8"/>
        <v>3.7351114845000004</v>
      </c>
      <c r="G31" s="73">
        <f t="shared" si="8"/>
        <v>3.7114077230200002</v>
      </c>
      <c r="H31" s="73">
        <f t="shared" si="8"/>
        <v>3.7063961214700001</v>
      </c>
      <c r="I31" s="73">
        <f t="shared" si="8"/>
        <v>3.5366208008000002</v>
      </c>
      <c r="J31" s="73"/>
      <c r="K31" s="73">
        <f t="shared" si="8"/>
        <v>3.7798982667600005</v>
      </c>
      <c r="L31" s="73">
        <f t="shared" si="8"/>
        <v>3.7282571029999998</v>
      </c>
      <c r="M31" s="73">
        <f t="shared" si="8"/>
        <v>3.7214454820000005</v>
      </c>
      <c r="N31" s="73">
        <f t="shared" si="8"/>
        <v>3.6991492520199998</v>
      </c>
      <c r="O31" s="73">
        <f t="shared" si="8"/>
        <v>3.6945071948700003</v>
      </c>
      <c r="P31" s="73">
        <f t="shared" si="8"/>
        <v>3.5366403250000005</v>
      </c>
    </row>
    <row r="32" spans="1:20">
      <c r="A32" s="35"/>
      <c r="B32" s="33"/>
      <c r="C32" s="33"/>
      <c r="D32" s="52"/>
      <c r="E32" s="52"/>
      <c r="F32" s="52"/>
      <c r="G32" s="52"/>
      <c r="H32" s="52"/>
      <c r="I32" s="52"/>
      <c r="J32" s="52"/>
      <c r="K32" s="52"/>
      <c r="L32" s="52"/>
      <c r="M32" s="52"/>
      <c r="N32" s="52"/>
      <c r="O32" s="52"/>
      <c r="P32" s="52"/>
    </row>
    <row r="33" spans="1:16">
      <c r="A33" s="1" t="s">
        <v>74</v>
      </c>
      <c r="B33" s="1"/>
      <c r="C33" s="45"/>
      <c r="D33" s="45"/>
      <c r="E33" s="53"/>
      <c r="F33" s="53"/>
      <c r="G33" s="53"/>
      <c r="H33" s="53"/>
      <c r="I33" s="53"/>
      <c r="J33" s="53"/>
      <c r="K33" s="53"/>
      <c r="L33" s="53"/>
      <c r="M33" s="53"/>
      <c r="N33" s="53"/>
      <c r="O33" s="53"/>
      <c r="P33" s="53"/>
    </row>
    <row r="34" spans="1:16" ht="15.75">
      <c r="A34" s="45"/>
      <c r="B34" s="20" t="s">
        <v>83</v>
      </c>
      <c r="C34" s="45"/>
      <c r="D34" s="54">
        <f t="shared" ref="D34:P34" si="9">(D4*D9 - D15)/(D4*D9)</f>
        <v>0.89722524276130011</v>
      </c>
      <c r="E34" s="54">
        <f t="shared" si="9"/>
        <v>0.91742046746461992</v>
      </c>
      <c r="F34" s="54">
        <f t="shared" si="9"/>
        <v>0.92016873450518</v>
      </c>
      <c r="G34" s="54">
        <f t="shared" si="9"/>
        <v>0.92903122424295004</v>
      </c>
      <c r="H34" s="54">
        <f t="shared" si="9"/>
        <v>0.93088168113501002</v>
      </c>
      <c r="I34" s="54">
        <f t="shared" si="9"/>
        <v>0.99040202182186499</v>
      </c>
      <c r="J34" s="54"/>
      <c r="K34" s="54">
        <f t="shared" si="9"/>
        <v>0.90869156997088008</v>
      </c>
      <c r="L34" s="54">
        <f t="shared" si="9"/>
        <v>0.92839419786880006</v>
      </c>
      <c r="M34" s="54">
        <f t="shared" si="9"/>
        <v>0.93081778266037996</v>
      </c>
      <c r="N34" s="54">
        <f t="shared" si="9"/>
        <v>0.93825027760989999</v>
      </c>
      <c r="O34" s="54">
        <f t="shared" si="9"/>
        <v>0.93995246628987994</v>
      </c>
      <c r="P34" s="40">
        <f t="shared" si="9"/>
        <v>0.99214017232046503</v>
      </c>
    </row>
    <row r="35" spans="1:16">
      <c r="A35" s="45"/>
      <c r="B35" s="45"/>
      <c r="C35" s="45"/>
      <c r="D35" s="53"/>
      <c r="E35" s="53"/>
      <c r="F35" s="53"/>
      <c r="G35" s="53"/>
      <c r="H35" s="53"/>
      <c r="I35" s="53"/>
      <c r="J35" s="53"/>
      <c r="K35" s="53"/>
      <c r="L35" s="53"/>
      <c r="M35" s="53"/>
      <c r="N35" s="53"/>
      <c r="O35" s="53"/>
      <c r="P35" s="53"/>
    </row>
    <row r="36" spans="1:16" ht="15.75">
      <c r="A36" s="45"/>
      <c r="B36" s="45" t="s">
        <v>76</v>
      </c>
      <c r="C36" s="45"/>
      <c r="D36" s="69">
        <f t="shared" ref="D36:P36" si="10">D29/D27</f>
        <v>1.0746909343165343</v>
      </c>
      <c r="E36" s="69">
        <f t="shared" si="10"/>
        <v>1.0864742468968551</v>
      </c>
      <c r="F36" s="69">
        <f t="shared" si="10"/>
        <v>1.088133911551624</v>
      </c>
      <c r="G36" s="69">
        <f t="shared" si="10"/>
        <v>1.0937492567275078</v>
      </c>
      <c r="H36" s="69">
        <f t="shared" si="10"/>
        <v>1.0949748999497759</v>
      </c>
      <c r="I36" s="69">
        <f t="shared" si="10"/>
        <v>1.1484878556480742</v>
      </c>
      <c r="J36" s="69"/>
      <c r="K36" s="69">
        <f t="shared" si="10"/>
        <v>0.96659793476607392</v>
      </c>
      <c r="L36" s="69">
        <f t="shared" si="10"/>
        <v>0.97703589501317401</v>
      </c>
      <c r="M36" s="69">
        <f t="shared" si="10"/>
        <v>0.97849679759003405</v>
      </c>
      <c r="N36" s="69">
        <f t="shared" si="10"/>
        <v>0.98338952610524921</v>
      </c>
      <c r="O36" s="69">
        <f t="shared" si="10"/>
        <v>0.98446886218913698</v>
      </c>
      <c r="P36" s="69">
        <f t="shared" si="10"/>
        <v>1.0309388731963398</v>
      </c>
    </row>
    <row r="37" spans="1:16">
      <c r="A37" s="45"/>
      <c r="B37" s="45" t="s">
        <v>77</v>
      </c>
      <c r="C37" s="45"/>
      <c r="D37" s="69"/>
      <c r="E37" s="69"/>
      <c r="F37" s="69"/>
      <c r="G37" s="69"/>
      <c r="H37" s="69"/>
      <c r="I37" s="69"/>
      <c r="J37" s="69"/>
      <c r="K37" s="69"/>
      <c r="L37" s="69"/>
      <c r="M37" s="69"/>
      <c r="N37" s="69"/>
      <c r="O37" s="69"/>
      <c r="P37" s="69"/>
    </row>
    <row r="38" spans="1:16">
      <c r="A38" s="45"/>
      <c r="B38" s="45"/>
      <c r="C38" s="11" t="s">
        <v>78</v>
      </c>
      <c r="D38" s="69">
        <f t="shared" ref="D38:P38" si="11">5*D20+6*D21+7*D22+8*D23+9*D24+10*D25+11*D26</f>
        <v>0.96219798199999995</v>
      </c>
      <c r="E38" s="69">
        <f t="shared" si="11"/>
        <v>0.961368326</v>
      </c>
      <c r="F38" s="69">
        <f t="shared" si="11"/>
        <v>0.961256208</v>
      </c>
      <c r="G38" s="69">
        <f t="shared" si="11"/>
        <v>0.96057544099999992</v>
      </c>
      <c r="H38" s="69">
        <f t="shared" si="11"/>
        <v>0.9603704930000001</v>
      </c>
      <c r="I38" s="69">
        <f t="shared" si="11"/>
        <v>0.94078812500000009</v>
      </c>
      <c r="J38" s="69"/>
      <c r="K38" s="69">
        <f t="shared" si="11"/>
        <v>1.0365053739999999</v>
      </c>
      <c r="L38" s="69">
        <f t="shared" si="11"/>
        <v>1.0365218599999999</v>
      </c>
      <c r="M38" s="69">
        <f t="shared" si="11"/>
        <v>1.0362186060000003</v>
      </c>
      <c r="N38" s="69">
        <f t="shared" si="11"/>
        <v>1.0344990510000001</v>
      </c>
      <c r="O38" s="69">
        <f t="shared" si="11"/>
        <v>1.03426105</v>
      </c>
      <c r="P38" s="69">
        <f t="shared" si="11"/>
        <v>1.011348637</v>
      </c>
    </row>
    <row r="39" spans="1:16">
      <c r="A39" s="11"/>
      <c r="B39" s="22" t="s">
        <v>32</v>
      </c>
      <c r="C39" s="11" t="s">
        <v>79</v>
      </c>
      <c r="D39" s="69">
        <f t="shared" ref="D39:P39" si="12">D10</f>
        <v>3.5686501224046996</v>
      </c>
      <c r="E39" s="69">
        <f t="shared" si="12"/>
        <v>3.5063974220966148</v>
      </c>
      <c r="F39" s="69">
        <f t="shared" si="12"/>
        <v>3.4982281474433203</v>
      </c>
      <c r="G39" s="69">
        <f t="shared" si="12"/>
        <v>3.4715592508375135</v>
      </c>
      <c r="H39" s="69">
        <f t="shared" si="12"/>
        <v>3.4659281928996992</v>
      </c>
      <c r="I39" s="69">
        <f t="shared" si="12"/>
        <v>3.2760569378695803</v>
      </c>
      <c r="J39" s="69"/>
      <c r="K39" s="69">
        <f t="shared" si="12"/>
        <v>3.5686501224046996</v>
      </c>
      <c r="L39" s="69">
        <f t="shared" si="12"/>
        <v>3.5063974220966148</v>
      </c>
      <c r="M39" s="69">
        <f t="shared" si="12"/>
        <v>3.4982281474433203</v>
      </c>
      <c r="N39" s="69">
        <f t="shared" si="12"/>
        <v>3.4715592508375135</v>
      </c>
      <c r="O39" s="69">
        <f t="shared" si="12"/>
        <v>3.4659281928996992</v>
      </c>
      <c r="P39" s="69">
        <f t="shared" si="12"/>
        <v>3.2760569378695803</v>
      </c>
    </row>
    <row r="40" spans="1:16" ht="15.75">
      <c r="A40" s="45"/>
      <c r="B40" s="11" t="s">
        <v>80</v>
      </c>
      <c r="C40" s="11" t="s">
        <v>81</v>
      </c>
      <c r="D40" s="54">
        <f t="shared" ref="D40:P40" si="13">D38/D39</f>
        <v>0.26962519412007596</v>
      </c>
      <c r="E40" s="54">
        <f t="shared" si="13"/>
        <v>0.27417551699691806</v>
      </c>
      <c r="F40" s="54">
        <f t="shared" si="13"/>
        <v>0.27478373836267195</v>
      </c>
      <c r="G40" s="54">
        <f t="shared" si="13"/>
        <v>0.27669855865725501</v>
      </c>
      <c r="H40" s="54">
        <f t="shared" si="13"/>
        <v>0.27708897575183905</v>
      </c>
      <c r="I40" s="75">
        <f t="shared" si="13"/>
        <v>0.28717087121562501</v>
      </c>
      <c r="J40" s="75"/>
      <c r="K40" s="75">
        <f t="shared" si="13"/>
        <v>0.29044746289153195</v>
      </c>
      <c r="L40" s="75">
        <f t="shared" si="13"/>
        <v>0.29560877881898001</v>
      </c>
      <c r="M40" s="75">
        <f t="shared" si="13"/>
        <v>0.29621241449255403</v>
      </c>
      <c r="N40" s="54">
        <f t="shared" si="13"/>
        <v>0.29799262413580502</v>
      </c>
      <c r="O40" s="54">
        <f t="shared" si="13"/>
        <v>0.29840810092915004</v>
      </c>
      <c r="P40" s="42">
        <f t="shared" si="13"/>
        <v>0.30870911470106499</v>
      </c>
    </row>
    <row r="41" spans="1:16" ht="5.25" customHeight="1">
      <c r="A41" s="45"/>
      <c r="B41" s="45"/>
      <c r="C41" s="45"/>
      <c r="D41" s="53"/>
      <c r="E41" s="53"/>
      <c r="F41" s="53"/>
      <c r="G41" s="53"/>
      <c r="H41" s="53"/>
      <c r="I41" s="53"/>
      <c r="J41" s="53"/>
      <c r="K41" s="53"/>
      <c r="L41" s="53"/>
      <c r="M41" s="53"/>
      <c r="N41" s="53"/>
      <c r="O41" s="53"/>
      <c r="P41" s="53"/>
    </row>
    <row r="42" spans="1:16" ht="5.25" customHeight="1">
      <c r="A42" s="45"/>
      <c r="B42" s="45"/>
      <c r="C42" s="45"/>
      <c r="D42" s="53"/>
      <c r="E42" s="53"/>
      <c r="F42" s="53"/>
      <c r="G42" s="53"/>
      <c r="H42" s="53"/>
      <c r="I42" s="53"/>
      <c r="J42" s="53"/>
      <c r="K42" s="53"/>
      <c r="L42" s="53"/>
      <c r="M42" s="53"/>
      <c r="N42" s="53"/>
      <c r="O42" s="53"/>
      <c r="P42" s="53"/>
    </row>
    <row r="43" spans="1:16">
      <c r="A43" s="45"/>
      <c r="B43" s="45"/>
      <c r="C43" s="11" t="s">
        <v>78</v>
      </c>
      <c r="D43" s="69">
        <f t="shared" ref="D43:P43" si="14">D38</f>
        <v>0.96219798199999995</v>
      </c>
      <c r="E43" s="69">
        <f t="shared" si="14"/>
        <v>0.961368326</v>
      </c>
      <c r="F43" s="69">
        <f t="shared" si="14"/>
        <v>0.961256208</v>
      </c>
      <c r="G43" s="69">
        <f t="shared" si="14"/>
        <v>0.96057544099999992</v>
      </c>
      <c r="H43" s="69">
        <f t="shared" si="14"/>
        <v>0.9603704930000001</v>
      </c>
      <c r="I43" s="69">
        <f t="shared" si="14"/>
        <v>0.94078812500000009</v>
      </c>
      <c r="J43" s="69"/>
      <c r="K43" s="69">
        <f t="shared" si="14"/>
        <v>1.0365053739999999</v>
      </c>
      <c r="L43" s="69">
        <f t="shared" si="14"/>
        <v>1.0365218599999999</v>
      </c>
      <c r="M43" s="69">
        <f t="shared" si="14"/>
        <v>1.0362186060000003</v>
      </c>
      <c r="N43" s="69">
        <f t="shared" si="14"/>
        <v>1.0344990510000001</v>
      </c>
      <c r="O43" s="69">
        <f t="shared" si="14"/>
        <v>1.03426105</v>
      </c>
      <c r="P43" s="69">
        <f t="shared" si="14"/>
        <v>1.011348637</v>
      </c>
    </row>
    <row r="44" spans="1:16">
      <c r="A44" s="45"/>
      <c r="B44" s="43" t="s">
        <v>32</v>
      </c>
      <c r="C44" s="11" t="s">
        <v>79</v>
      </c>
      <c r="D44" s="69">
        <f t="shared" ref="D44:P44" si="15">D39*D34</f>
        <v>3.2018829724046998</v>
      </c>
      <c r="E44" s="69">
        <f t="shared" si="15"/>
        <v>3.2168407620966146</v>
      </c>
      <c r="F44" s="69">
        <f t="shared" si="15"/>
        <v>3.2189601674433201</v>
      </c>
      <c r="G44" s="69">
        <f t="shared" si="15"/>
        <v>3.2251869408375136</v>
      </c>
      <c r="H44" s="69">
        <f t="shared" si="15"/>
        <v>3.2263690628996993</v>
      </c>
      <c r="I44" s="69">
        <f t="shared" si="15"/>
        <v>3.2446134148695802</v>
      </c>
      <c r="J44" s="69"/>
      <c r="K44" s="69">
        <f t="shared" si="15"/>
        <v>3.2428022824046998</v>
      </c>
      <c r="L44" s="69">
        <f t="shared" si="15"/>
        <v>3.2553190220966148</v>
      </c>
      <c r="M44" s="69">
        <f t="shared" si="15"/>
        <v>3.2562129674433202</v>
      </c>
      <c r="N44" s="69">
        <f t="shared" si="15"/>
        <v>3.2571914308375134</v>
      </c>
      <c r="O44" s="69">
        <f t="shared" si="15"/>
        <v>3.2578077528996991</v>
      </c>
      <c r="P44" s="69">
        <f t="shared" si="15"/>
        <v>3.2503076948695804</v>
      </c>
    </row>
    <row r="45" spans="1:16" ht="15.75">
      <c r="A45" s="45"/>
      <c r="B45" s="11" t="s">
        <v>82</v>
      </c>
      <c r="C45" s="11" t="s">
        <v>81</v>
      </c>
      <c r="D45" s="54">
        <f t="shared" ref="D45:P45" si="16">D43/D44</f>
        <v>0.30051004058944836</v>
      </c>
      <c r="E45" s="54">
        <f t="shared" si="16"/>
        <v>0.29885480727787617</v>
      </c>
      <c r="F45" s="54">
        <f t="shared" si="16"/>
        <v>0.29862320687350535</v>
      </c>
      <c r="G45" s="54">
        <f t="shared" si="16"/>
        <v>0.2978355855399063</v>
      </c>
      <c r="H45" s="54">
        <f t="shared" si="16"/>
        <v>0.29766293758621248</v>
      </c>
      <c r="I45" s="54">
        <f t="shared" si="16"/>
        <v>0.28995384186248757</v>
      </c>
      <c r="J45" s="54"/>
      <c r="K45" s="54">
        <f t="shared" si="16"/>
        <v>0.31963261516868657</v>
      </c>
      <c r="L45" s="54">
        <f t="shared" si="16"/>
        <v>0.31840868835412006</v>
      </c>
      <c r="M45" s="54">
        <f t="shared" si="16"/>
        <v>0.31822814304852048</v>
      </c>
      <c r="N45" s="54">
        <f t="shared" si="16"/>
        <v>0.31760462133292605</v>
      </c>
      <c r="O45" s="54">
        <f t="shared" si="16"/>
        <v>0.31747148034730666</v>
      </c>
      <c r="P45" s="54">
        <f t="shared" si="16"/>
        <v>0.31115473731805587</v>
      </c>
    </row>
    <row r="46" spans="1:16">
      <c r="A46" s="45"/>
      <c r="B46" s="11"/>
      <c r="C46" s="11"/>
      <c r="D46" s="54"/>
      <c r="E46" s="54"/>
      <c r="F46" s="54"/>
      <c r="G46" s="54"/>
      <c r="H46" s="54"/>
      <c r="I46" s="54"/>
      <c r="J46" s="54"/>
      <c r="K46" s="54"/>
      <c r="L46" s="54"/>
      <c r="M46" s="54"/>
      <c r="N46" s="54"/>
      <c r="O46" s="54"/>
      <c r="P46" s="54"/>
    </row>
    <row r="47" spans="1:16">
      <c r="A47" s="45"/>
      <c r="B47" s="45"/>
      <c r="C47" s="11" t="s">
        <v>98</v>
      </c>
      <c r="D47" s="69">
        <f t="shared" ref="D47:O49" si="17">D21/D20</f>
        <v>0.88307372282329122</v>
      </c>
      <c r="E47" s="69">
        <f t="shared" si="17"/>
        <v>0.88390192168418635</v>
      </c>
      <c r="F47" s="69">
        <f t="shared" si="17"/>
        <v>0.88401624090414654</v>
      </c>
      <c r="G47" s="69">
        <f t="shared" si="17"/>
        <v>0.88439791410106183</v>
      </c>
      <c r="H47" s="69">
        <f t="shared" si="17"/>
        <v>0.8844802145707471</v>
      </c>
      <c r="I47" s="69">
        <f t="shared" ref="I47" si="18">I21/I20</f>
        <v>0.8876461491224551</v>
      </c>
      <c r="J47" s="69"/>
      <c r="K47" s="69">
        <f t="shared" si="17"/>
        <v>0.87504236341662889</v>
      </c>
      <c r="L47" s="69">
        <f t="shared" si="17"/>
        <v>0.87593230055040761</v>
      </c>
      <c r="M47" s="69">
        <f t="shared" si="17"/>
        <v>0.87605368103712433</v>
      </c>
      <c r="N47" s="69">
        <f t="shared" si="17"/>
        <v>0.87645446678074201</v>
      </c>
      <c r="O47" s="69">
        <f t="shared" si="17"/>
        <v>0.87654201762330075</v>
      </c>
      <c r="P47" s="69">
        <f t="shared" ref="P47" si="19">P21/P20</f>
        <v>0.879860226714128</v>
      </c>
    </row>
    <row r="48" spans="1:16">
      <c r="A48" s="45"/>
      <c r="C48" s="11" t="s">
        <v>99</v>
      </c>
      <c r="D48" s="69">
        <f t="shared" si="17"/>
        <v>0.88315324804410111</v>
      </c>
      <c r="E48" s="69">
        <f t="shared" si="17"/>
        <v>0.88397807098860581</v>
      </c>
      <c r="F48" s="69">
        <f t="shared" si="17"/>
        <v>0.88409200834769042</v>
      </c>
      <c r="G48" s="69">
        <f t="shared" si="17"/>
        <v>0.88447260934710781</v>
      </c>
      <c r="H48" s="69">
        <f t="shared" si="17"/>
        <v>0.88455466606260502</v>
      </c>
      <c r="I48" s="69">
        <f t="shared" ref="I48" si="20">I22/I21</f>
        <v>0.88772716903657511</v>
      </c>
      <c r="J48" s="69"/>
      <c r="K48" s="69">
        <f t="shared" si="17"/>
        <v>0.87513066199124456</v>
      </c>
      <c r="L48" s="69">
        <f t="shared" si="17"/>
        <v>0.87601716771825444</v>
      </c>
      <c r="M48" s="69">
        <f t="shared" si="17"/>
        <v>0.87613815676568829</v>
      </c>
      <c r="N48" s="69">
        <f t="shared" si="17"/>
        <v>0.87653789626694689</v>
      </c>
      <c r="O48" s="69">
        <f t="shared" si="17"/>
        <v>0.8766252288637012</v>
      </c>
      <c r="P48" s="69">
        <f t="shared" ref="P48" si="21">P22/P21</f>
        <v>0.87995206216858124</v>
      </c>
    </row>
    <row r="49" spans="1:16">
      <c r="A49" s="45"/>
      <c r="C49" s="11" t="s">
        <v>100</v>
      </c>
      <c r="D49" s="69">
        <f t="shared" si="17"/>
        <v>0.88323575920705499</v>
      </c>
      <c r="E49" s="69">
        <f t="shared" si="17"/>
        <v>0.88405706497083036</v>
      </c>
      <c r="F49" s="69">
        <f t="shared" si="17"/>
        <v>0.88417053974959181</v>
      </c>
      <c r="G49" s="69">
        <f t="shared" si="17"/>
        <v>0.88454998275388574</v>
      </c>
      <c r="H49" s="69">
        <f t="shared" si="17"/>
        <v>0.88463182222914705</v>
      </c>
      <c r="I49" s="69">
        <f t="shared" ref="I49" si="22">I23/I22</f>
        <v>0.88781091323577765</v>
      </c>
      <c r="J49" s="69"/>
      <c r="K49" s="69">
        <f t="shared" si="17"/>
        <v>0.87522243933495569</v>
      </c>
      <c r="L49" s="69">
        <f t="shared" si="17"/>
        <v>0.87610531760291532</v>
      </c>
      <c r="M49" s="69">
        <f t="shared" si="17"/>
        <v>0.87622595073725984</v>
      </c>
      <c r="N49" s="69">
        <f t="shared" si="17"/>
        <v>0.87662459515899205</v>
      </c>
      <c r="O49" s="69">
        <f t="shared" si="17"/>
        <v>0.8767117320136254</v>
      </c>
      <c r="P49" s="69">
        <f t="shared" ref="P49" si="23">P23/P22</f>
        <v>0.88004713947568314</v>
      </c>
    </row>
    <row r="50" spans="1:16">
      <c r="A50" s="45"/>
      <c r="C50" s="11" t="s">
        <v>101</v>
      </c>
      <c r="D50" s="69">
        <f t="shared" ref="D50:I52" si="24">D24/D23</f>
        <v>0.8833213238359422</v>
      </c>
      <c r="E50" s="69">
        <f t="shared" si="24"/>
        <v>0.88413893411870625</v>
      </c>
      <c r="F50" s="69">
        <f t="shared" si="24"/>
        <v>0.88425208769697805</v>
      </c>
      <c r="G50" s="69">
        <f t="shared" si="24"/>
        <v>0.88463029768598889</v>
      </c>
      <c r="H50" s="69">
        <f t="shared" si="24"/>
        <v>0.88471189970920583</v>
      </c>
      <c r="I50" s="69">
        <f t="shared" si="24"/>
        <v>0.88789740797848427</v>
      </c>
      <c r="J50" s="69"/>
      <c r="K50" s="69">
        <f t="shared" ref="K50:P52" si="25">K24/K23</f>
        <v>0.87531800680154448</v>
      </c>
      <c r="L50" s="69">
        <f t="shared" si="25"/>
        <v>0.87619711988826865</v>
      </c>
      <c r="M50" s="69">
        <f t="shared" si="25"/>
        <v>0.87631731710114058</v>
      </c>
      <c r="N50" s="69">
        <f t="shared" si="25"/>
        <v>0.8767148046127955</v>
      </c>
      <c r="O50" s="69">
        <f t="shared" si="25"/>
        <v>0.87680177974987317</v>
      </c>
      <c r="P50" s="69">
        <f t="shared" si="25"/>
        <v>0.88014578385301034</v>
      </c>
    </row>
    <row r="51" spans="1:16">
      <c r="A51" s="45"/>
      <c r="C51" s="11" t="s">
        <v>102</v>
      </c>
      <c r="D51" s="69">
        <f t="shared" si="24"/>
        <v>0.88341005538671225</v>
      </c>
      <c r="E51" s="69">
        <f t="shared" si="24"/>
        <v>0.88422404613957251</v>
      </c>
      <c r="F51" s="69">
        <f t="shared" si="24"/>
        <v>0.88433675430674685</v>
      </c>
      <c r="G51" s="69">
        <f t="shared" si="24"/>
        <v>0.88471359271677619</v>
      </c>
      <c r="H51" s="69">
        <f t="shared" si="24"/>
        <v>0.88479502879210237</v>
      </c>
      <c r="I51" s="69">
        <f t="shared" si="24"/>
        <v>0.88798687589265757</v>
      </c>
      <c r="J51" s="69"/>
      <c r="K51" s="69">
        <f t="shared" si="25"/>
        <v>0.87541750753751302</v>
      </c>
      <c r="L51" s="69">
        <f t="shared" si="25"/>
        <v>0.87629270645369828</v>
      </c>
      <c r="M51" s="69">
        <f t="shared" si="25"/>
        <v>0.87641248342881528</v>
      </c>
      <c r="N51" s="69">
        <f t="shared" si="25"/>
        <v>0.87680881568966307</v>
      </c>
      <c r="O51" s="69">
        <f t="shared" si="25"/>
        <v>0.87689552875500754</v>
      </c>
      <c r="P51" s="69">
        <f t="shared" si="25"/>
        <v>0.88024805208599266</v>
      </c>
    </row>
    <row r="52" spans="1:16">
      <c r="A52" s="45"/>
      <c r="C52" s="11" t="s">
        <v>103</v>
      </c>
      <c r="D52" s="69">
        <f t="shared" si="24"/>
        <v>0.88350234495410673</v>
      </c>
      <c r="E52" s="69">
        <f t="shared" si="24"/>
        <v>0.88431250954417562</v>
      </c>
      <c r="F52" s="69">
        <f t="shared" si="24"/>
        <v>0.88442463669640881</v>
      </c>
      <c r="G52" s="69">
        <f t="shared" si="24"/>
        <v>0.88480022926461244</v>
      </c>
      <c r="H52" s="69">
        <f t="shared" si="24"/>
        <v>0.88488136851708865</v>
      </c>
      <c r="I52" s="69">
        <f t="shared" si="24"/>
        <v>0.88807946245299674</v>
      </c>
      <c r="J52" s="69"/>
      <c r="K52" s="69">
        <f t="shared" si="25"/>
        <v>0.87552123931618098</v>
      </c>
      <c r="L52" s="69">
        <f t="shared" si="25"/>
        <v>0.8763924368542394</v>
      </c>
      <c r="M52" s="69">
        <f t="shared" si="25"/>
        <v>0.87651183755333839</v>
      </c>
      <c r="N52" s="69">
        <f t="shared" si="25"/>
        <v>0.87690677707577602</v>
      </c>
      <c r="O52" s="69">
        <f t="shared" si="25"/>
        <v>0.87699323492446724</v>
      </c>
      <c r="P52" s="69">
        <f t="shared" si="25"/>
        <v>0.88035425733922312</v>
      </c>
    </row>
    <row r="53" spans="1:16">
      <c r="A53" s="45"/>
      <c r="C53" s="74" t="s">
        <v>108</v>
      </c>
      <c r="D53" s="69">
        <f t="shared" ref="D53:P53" si="26">SUM(D47:D52)/6</f>
        <v>0.88328274237520155</v>
      </c>
      <c r="E53" s="69">
        <f t="shared" si="26"/>
        <v>0.8841020912410128</v>
      </c>
      <c r="F53" s="69">
        <f t="shared" si="26"/>
        <v>0.88421537795026028</v>
      </c>
      <c r="G53" s="69">
        <f t="shared" si="26"/>
        <v>0.88459410431157226</v>
      </c>
      <c r="H53" s="69">
        <f t="shared" si="26"/>
        <v>0.88467583331348276</v>
      </c>
      <c r="I53" s="69">
        <f t="shared" si="26"/>
        <v>0.88785799628649109</v>
      </c>
      <c r="J53" s="69"/>
      <c r="K53" s="69">
        <f t="shared" si="26"/>
        <v>0.87527536973301123</v>
      </c>
      <c r="L53" s="69">
        <f t="shared" si="26"/>
        <v>0.8761561748446306</v>
      </c>
      <c r="M53" s="69">
        <f t="shared" si="26"/>
        <v>0.87627657110389456</v>
      </c>
      <c r="N53" s="69">
        <f t="shared" si="26"/>
        <v>0.87667455926415261</v>
      </c>
      <c r="O53" s="69">
        <f t="shared" si="26"/>
        <v>0.87676158698832918</v>
      </c>
      <c r="P53" s="69">
        <f t="shared" si="26"/>
        <v>0.88010125360610303</v>
      </c>
    </row>
  </sheetData>
  <pageMargins left="0.511811024" right="0.511811024" top="0.78740157499999996" bottom="0.78740157499999996" header="0.31496062000000002" footer="0.31496062000000002"/>
  <pageSetup paperSize="9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417</TotalTime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6</vt:i4>
      </vt:variant>
      <vt:variant>
        <vt:lpstr>Intervalos Nomeados</vt:lpstr>
      </vt:variant>
      <vt:variant>
        <vt:i4>1</vt:i4>
      </vt:variant>
    </vt:vector>
  </HeadingPairs>
  <TitlesOfParts>
    <vt:vector size="7" baseType="lpstr">
      <vt:lpstr>SFT</vt:lpstr>
      <vt:lpstr>Massa Cat X Temp</vt:lpstr>
      <vt:lpstr>Massa Cat  x Pressao 543K_583K </vt:lpstr>
      <vt:lpstr>H2_CO_583K _25kg</vt:lpstr>
      <vt:lpstr> 583K_25kg_30_40atm</vt:lpstr>
      <vt:lpstr> 583K_25kg_30_40atm (2)</vt:lpstr>
      <vt:lpstr>' 583K_25kg_30_40atm (2)'!Area_de_impressao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Denys Haluli Kabbaz</cp:lastModifiedBy>
  <cp:revision>44</cp:revision>
  <cp:lastPrinted>2026-04-08T17:41:37Z</cp:lastPrinted>
  <dcterms:created xsi:type="dcterms:W3CDTF">2026-02-12T01:08:57Z</dcterms:created>
  <dcterms:modified xsi:type="dcterms:W3CDTF">2026-04-09T01:58:19Z</dcterms:modified>
  <dc:language>pt-BR</dc:language>
</cp:coreProperties>
</file>