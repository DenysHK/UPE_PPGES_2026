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Dropbox\Pen\UPE PPGES POLI\8 DISSERTACAO\SOFTWARE E RESULTADOS\SFT\"/>
    </mc:Choice>
  </mc:AlternateContent>
  <xr:revisionPtr revIDLastSave="0" documentId="13_ncr:1_{E465E785-2C8C-466D-99E2-D81BE5193C1F}" xr6:coauthVersionLast="47" xr6:coauthVersionMax="47" xr10:uidLastSave="{00000000-0000-0000-0000-000000000000}"/>
  <bookViews>
    <workbookView xWindow="-24645" yWindow="-5790" windowWidth="18480" windowHeight="14820" tabRatio="500" xr2:uid="{00000000-000D-0000-FFFF-FFFF00000000}"/>
  </bookViews>
  <sheets>
    <sheet name="SFT" sheetId="1" r:id="rId1"/>
    <sheet name="Massa Cat X Temp" sheetId="2" r:id="rId2"/>
    <sheet name="Massa Cat  x Pressao 543K_583K " sheetId="3" r:id="rId3"/>
    <sheet name="H2_CO_583K _25k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27" i="4" l="1"/>
  <c r="U27" i="4"/>
  <c r="T27" i="4"/>
  <c r="T36" i="4" s="1"/>
  <c r="D99" i="4" s="1"/>
  <c r="S27" i="4"/>
  <c r="S31" i="4" s="1"/>
  <c r="Q27" i="4"/>
  <c r="Q36" i="4" s="1"/>
  <c r="F98" i="4" s="1"/>
  <c r="P27" i="4"/>
  <c r="P36" i="4" s="1"/>
  <c r="E98" i="4" s="1"/>
  <c r="O27" i="4"/>
  <c r="O36" i="4" s="1"/>
  <c r="D98" i="4" s="1"/>
  <c r="N27" i="4"/>
  <c r="L27" i="4"/>
  <c r="L31" i="4" s="1"/>
  <c r="K27" i="4"/>
  <c r="K31" i="4" s="1"/>
  <c r="J27" i="4"/>
  <c r="D57" i="4" s="1"/>
  <c r="I27" i="4"/>
  <c r="I31" i="4" s="1"/>
  <c r="G27" i="4"/>
  <c r="E27" i="4"/>
  <c r="E31" i="4" s="1"/>
  <c r="D27" i="4"/>
  <c r="D31" i="4" s="1"/>
  <c r="F27" i="4"/>
  <c r="T3" i="4"/>
  <c r="S3" i="4"/>
  <c r="O3" i="4"/>
  <c r="N3" i="4"/>
  <c r="L3" i="4"/>
  <c r="K3" i="4"/>
  <c r="G3" i="4"/>
  <c r="F3" i="4"/>
  <c r="V3" i="4"/>
  <c r="U3" i="4"/>
  <c r="Q3" i="4"/>
  <c r="P3" i="4"/>
  <c r="J3" i="4"/>
  <c r="I3" i="4"/>
  <c r="D3" i="4"/>
  <c r="E3" i="4"/>
  <c r="C56" i="4"/>
  <c r="V38" i="4"/>
  <c r="V43" i="4" s="1"/>
  <c r="U38" i="4"/>
  <c r="U43" i="4" s="1"/>
  <c r="T38" i="4"/>
  <c r="S38" i="4"/>
  <c r="Q38" i="4"/>
  <c r="P38" i="4"/>
  <c r="P43" i="4" s="1"/>
  <c r="O38" i="4"/>
  <c r="O43" i="4" s="1"/>
  <c r="N38" i="4"/>
  <c r="N43" i="4" s="1"/>
  <c r="L38" i="4"/>
  <c r="K38" i="4"/>
  <c r="J38" i="4"/>
  <c r="I38" i="4"/>
  <c r="G38" i="4"/>
  <c r="G43" i="4" s="1"/>
  <c r="F38" i="4"/>
  <c r="F43" i="4" s="1"/>
  <c r="E38" i="4"/>
  <c r="D38" i="4"/>
  <c r="V36" i="4"/>
  <c r="F99" i="4" s="1"/>
  <c r="V34" i="4"/>
  <c r="F119" i="4" s="1"/>
  <c r="G34" i="4"/>
  <c r="F116" i="4" s="1"/>
  <c r="T31" i="4"/>
  <c r="J31" i="4"/>
  <c r="E36" i="4"/>
  <c r="D96" i="4" s="1"/>
  <c r="D36" i="4"/>
  <c r="C96" i="4" s="1"/>
  <c r="V10" i="4"/>
  <c r="V39" i="4" s="1"/>
  <c r="S10" i="4"/>
  <c r="S39" i="4" s="1"/>
  <c r="N10" i="4"/>
  <c r="N39" i="4" s="1"/>
  <c r="V9" i="4"/>
  <c r="U9" i="4"/>
  <c r="U10" i="4" s="1"/>
  <c r="U39" i="4" s="1"/>
  <c r="T9" i="4"/>
  <c r="T10" i="4" s="1"/>
  <c r="T39" i="4" s="1"/>
  <c r="S9" i="4"/>
  <c r="S34" i="4" s="1"/>
  <c r="C119" i="4" s="1"/>
  <c r="Q9" i="4"/>
  <c r="P9" i="4"/>
  <c r="O9" i="4"/>
  <c r="O34" i="4" s="1"/>
  <c r="D118" i="4" s="1"/>
  <c r="N9" i="4"/>
  <c r="N34" i="4" s="1"/>
  <c r="C118" i="4" s="1"/>
  <c r="L9" i="4"/>
  <c r="L10" i="4" s="1"/>
  <c r="L39" i="4" s="1"/>
  <c r="K9" i="4"/>
  <c r="J9" i="4"/>
  <c r="I9" i="4"/>
  <c r="G9" i="4"/>
  <c r="G10" i="4" s="1"/>
  <c r="G39" i="4" s="1"/>
  <c r="F9" i="4"/>
  <c r="F10" i="4" s="1"/>
  <c r="F39" i="4" s="1"/>
  <c r="E9" i="4"/>
  <c r="E34" i="4" s="1"/>
  <c r="D116" i="4" s="1"/>
  <c r="D9" i="4"/>
  <c r="D10" i="4" s="1"/>
  <c r="D39" i="4" s="1"/>
  <c r="V8" i="4"/>
  <c r="U8" i="4"/>
  <c r="T8" i="4"/>
  <c r="S8" i="4"/>
  <c r="Q8" i="4"/>
  <c r="P8" i="4"/>
  <c r="O8" i="4"/>
  <c r="N8" i="4"/>
  <c r="L8" i="4"/>
  <c r="K8" i="4"/>
  <c r="J8" i="4"/>
  <c r="I8" i="4"/>
  <c r="G8" i="4"/>
  <c r="F8" i="4"/>
  <c r="E8" i="4"/>
  <c r="D8" i="4"/>
  <c r="C98" i="3"/>
  <c r="D59" i="3"/>
  <c r="C59" i="3"/>
  <c r="F57" i="3"/>
  <c r="E57" i="3"/>
  <c r="C57" i="3"/>
  <c r="D56" i="3"/>
  <c r="C56" i="3"/>
  <c r="T43" i="3"/>
  <c r="K43" i="3"/>
  <c r="U40" i="3"/>
  <c r="E78" i="3" s="1"/>
  <c r="O39" i="3"/>
  <c r="F39" i="3"/>
  <c r="V38" i="3"/>
  <c r="V43" i="3" s="1"/>
  <c r="U38" i="3"/>
  <c r="U43" i="3" s="1"/>
  <c r="T38" i="3"/>
  <c r="S38" i="3"/>
  <c r="Q38" i="3"/>
  <c r="P38" i="3"/>
  <c r="O38" i="3"/>
  <c r="O43" i="3" s="1"/>
  <c r="N38" i="3"/>
  <c r="N43" i="3" s="1"/>
  <c r="L38" i="3"/>
  <c r="K38" i="3"/>
  <c r="J38" i="3"/>
  <c r="I38" i="3"/>
  <c r="I43" i="3" s="1"/>
  <c r="G38" i="3"/>
  <c r="G43" i="3" s="1"/>
  <c r="F38" i="3"/>
  <c r="F43" i="3" s="1"/>
  <c r="E38" i="3"/>
  <c r="E43" i="3" s="1"/>
  <c r="D38" i="3"/>
  <c r="V36" i="3"/>
  <c r="F99" i="3" s="1"/>
  <c r="N36" i="3"/>
  <c r="J36" i="3"/>
  <c r="D97" i="3" s="1"/>
  <c r="V34" i="3"/>
  <c r="F119" i="3" s="1"/>
  <c r="U34" i="3"/>
  <c r="E119" i="3" s="1"/>
  <c r="T34" i="3"/>
  <c r="D119" i="3" s="1"/>
  <c r="O34" i="3"/>
  <c r="D118" i="3" s="1"/>
  <c r="N34" i="3"/>
  <c r="C118" i="3" s="1"/>
  <c r="K34" i="3"/>
  <c r="E117" i="3" s="1"/>
  <c r="G34" i="3"/>
  <c r="F116" i="3" s="1"/>
  <c r="F34" i="3"/>
  <c r="E116" i="3" s="1"/>
  <c r="T31" i="3"/>
  <c r="S31" i="3"/>
  <c r="Q31" i="3"/>
  <c r="L31" i="3"/>
  <c r="K31" i="3"/>
  <c r="I31" i="3"/>
  <c r="E31" i="3"/>
  <c r="D31" i="3"/>
  <c r="V27" i="3"/>
  <c r="U27" i="3"/>
  <c r="T27" i="3"/>
  <c r="T36" i="3" s="1"/>
  <c r="D99" i="3" s="1"/>
  <c r="S27" i="3"/>
  <c r="S36" i="3" s="1"/>
  <c r="C99" i="3" s="1"/>
  <c r="Q27" i="3"/>
  <c r="P27" i="3"/>
  <c r="E58" i="3" s="1"/>
  <c r="O27" i="3"/>
  <c r="N27" i="3"/>
  <c r="L27" i="3"/>
  <c r="L36" i="3" s="1"/>
  <c r="F97" i="3" s="1"/>
  <c r="K27" i="3"/>
  <c r="K36" i="3" s="1"/>
  <c r="E97" i="3" s="1"/>
  <c r="J27" i="3"/>
  <c r="I27" i="3"/>
  <c r="I36" i="3" s="1"/>
  <c r="C97" i="3" s="1"/>
  <c r="G27" i="3"/>
  <c r="F27" i="3"/>
  <c r="E27" i="3"/>
  <c r="E36" i="3" s="1"/>
  <c r="D96" i="3" s="1"/>
  <c r="D27" i="3"/>
  <c r="D36" i="3" s="1"/>
  <c r="C96" i="3" s="1"/>
  <c r="V10" i="3"/>
  <c r="V39" i="3" s="1"/>
  <c r="U10" i="3"/>
  <c r="U39" i="3" s="1"/>
  <c r="O10" i="3"/>
  <c r="N10" i="3"/>
  <c r="N39" i="3" s="1"/>
  <c r="N40" i="3" s="1"/>
  <c r="C77" i="3" s="1"/>
  <c r="L10" i="3"/>
  <c r="L39" i="3" s="1"/>
  <c r="G10" i="3"/>
  <c r="G39" i="3" s="1"/>
  <c r="F10" i="3"/>
  <c r="D10" i="3"/>
  <c r="D39" i="3" s="1"/>
  <c r="D44" i="3" s="1"/>
  <c r="V9" i="3"/>
  <c r="U9" i="3"/>
  <c r="T9" i="3"/>
  <c r="T10" i="3" s="1"/>
  <c r="T39" i="3" s="1"/>
  <c r="T44" i="3" s="1"/>
  <c r="S9" i="3"/>
  <c r="S34" i="3" s="1"/>
  <c r="C119" i="3" s="1"/>
  <c r="Q9" i="3"/>
  <c r="P9" i="3"/>
  <c r="O9" i="3"/>
  <c r="N9" i="3"/>
  <c r="L9" i="3"/>
  <c r="L34" i="3" s="1"/>
  <c r="F117" i="3" s="1"/>
  <c r="K9" i="3"/>
  <c r="K10" i="3" s="1"/>
  <c r="K39" i="3" s="1"/>
  <c r="K44" i="3" s="1"/>
  <c r="J9" i="3"/>
  <c r="I9" i="3"/>
  <c r="G9" i="3"/>
  <c r="F9" i="3"/>
  <c r="E9" i="3"/>
  <c r="E10" i="3" s="1"/>
  <c r="E39" i="3" s="1"/>
  <c r="D9" i="3"/>
  <c r="D34" i="3" s="1"/>
  <c r="C116" i="3" s="1"/>
  <c r="V8" i="3"/>
  <c r="U8" i="3"/>
  <c r="T8" i="3"/>
  <c r="S8" i="3"/>
  <c r="Q8" i="3"/>
  <c r="P8" i="3"/>
  <c r="O8" i="3"/>
  <c r="N8" i="3"/>
  <c r="L8" i="3"/>
  <c r="K8" i="3"/>
  <c r="J8" i="3"/>
  <c r="I8" i="3"/>
  <c r="G8" i="3"/>
  <c r="F8" i="3"/>
  <c r="E8" i="3"/>
  <c r="D8" i="3"/>
  <c r="V3" i="3"/>
  <c r="U3" i="3"/>
  <c r="T3" i="3"/>
  <c r="S3" i="3"/>
  <c r="Q3" i="3"/>
  <c r="P3" i="3"/>
  <c r="O3" i="3"/>
  <c r="N3" i="3"/>
  <c r="L3" i="3"/>
  <c r="K3" i="3"/>
  <c r="J3" i="3"/>
  <c r="I3" i="3"/>
  <c r="G3" i="3"/>
  <c r="F3" i="3"/>
  <c r="E3" i="3"/>
  <c r="D3" i="3"/>
  <c r="S43" i="2"/>
  <c r="O43" i="2"/>
  <c r="F43" i="2"/>
  <c r="J39" i="2"/>
  <c r="V38" i="2"/>
  <c r="V43" i="2" s="1"/>
  <c r="U38" i="2"/>
  <c r="T38" i="2"/>
  <c r="S38" i="2"/>
  <c r="Q38" i="2"/>
  <c r="Q43" i="2" s="1"/>
  <c r="P38" i="2"/>
  <c r="P43" i="2" s="1"/>
  <c r="O38" i="2"/>
  <c r="N38" i="2"/>
  <c r="L38" i="2"/>
  <c r="L43" i="2" s="1"/>
  <c r="K38" i="2"/>
  <c r="J38" i="2"/>
  <c r="J43" i="2" s="1"/>
  <c r="I38" i="2"/>
  <c r="I43" i="2" s="1"/>
  <c r="G38" i="2"/>
  <c r="F38" i="2"/>
  <c r="E38" i="2"/>
  <c r="D38" i="2"/>
  <c r="D43" i="2" s="1"/>
  <c r="P36" i="2"/>
  <c r="L36" i="2"/>
  <c r="V34" i="2"/>
  <c r="P34" i="2"/>
  <c r="O34" i="2"/>
  <c r="I34" i="2"/>
  <c r="G34" i="2"/>
  <c r="V31" i="2"/>
  <c r="U31" i="2"/>
  <c r="T31" i="2"/>
  <c r="O31" i="2"/>
  <c r="N31" i="2"/>
  <c r="L31" i="2"/>
  <c r="G31" i="2"/>
  <c r="F31" i="2"/>
  <c r="E31" i="2"/>
  <c r="V27" i="2"/>
  <c r="V36" i="2" s="1"/>
  <c r="U27" i="2"/>
  <c r="U36" i="2" s="1"/>
  <c r="T27" i="2"/>
  <c r="T36" i="2" s="1"/>
  <c r="S27" i="2"/>
  <c r="Q27" i="2"/>
  <c r="P27" i="2"/>
  <c r="P31" i="2" s="1"/>
  <c r="O27" i="2"/>
  <c r="O36" i="2" s="1"/>
  <c r="N27" i="2"/>
  <c r="N36" i="2" s="1"/>
  <c r="L27" i="2"/>
  <c r="K27" i="2"/>
  <c r="J27" i="2"/>
  <c r="I27" i="2"/>
  <c r="I36" i="2" s="1"/>
  <c r="G27" i="2"/>
  <c r="G36" i="2" s="1"/>
  <c r="F27" i="2"/>
  <c r="F36" i="2" s="1"/>
  <c r="E27" i="2"/>
  <c r="E36" i="2" s="1"/>
  <c r="D27" i="2"/>
  <c r="D31" i="2" s="1"/>
  <c r="V10" i="2"/>
  <c r="V39" i="2" s="1"/>
  <c r="V44" i="2" s="1"/>
  <c r="Q10" i="2"/>
  <c r="Q39" i="2" s="1"/>
  <c r="Q40" i="2" s="1"/>
  <c r="P10" i="2"/>
  <c r="P39" i="2" s="1"/>
  <c r="O10" i="2"/>
  <c r="O39" i="2" s="1"/>
  <c r="O44" i="2" s="1"/>
  <c r="J10" i="2"/>
  <c r="I10" i="2"/>
  <c r="I39" i="2" s="1"/>
  <c r="I40" i="2" s="1"/>
  <c r="G10" i="2"/>
  <c r="G39" i="2" s="1"/>
  <c r="G44" i="2" s="1"/>
  <c r="V9" i="2"/>
  <c r="U9" i="2"/>
  <c r="T9" i="2"/>
  <c r="S9" i="2"/>
  <c r="S34" i="2" s="1"/>
  <c r="Q9" i="2"/>
  <c r="Q34" i="2" s="1"/>
  <c r="P9" i="2"/>
  <c r="O9" i="2"/>
  <c r="N9" i="2"/>
  <c r="L9" i="2"/>
  <c r="K9" i="2"/>
  <c r="K34" i="2" s="1"/>
  <c r="J9" i="2"/>
  <c r="J34" i="2" s="1"/>
  <c r="I9" i="2"/>
  <c r="G9" i="2"/>
  <c r="F9" i="2"/>
  <c r="E9" i="2"/>
  <c r="D9" i="2"/>
  <c r="D34" i="2" s="1"/>
  <c r="V8" i="2"/>
  <c r="U8" i="2"/>
  <c r="T8" i="2"/>
  <c r="S8" i="2"/>
  <c r="Q8" i="2"/>
  <c r="P8" i="2"/>
  <c r="O8" i="2"/>
  <c r="N8" i="2"/>
  <c r="L8" i="2"/>
  <c r="K8" i="2"/>
  <c r="J8" i="2"/>
  <c r="I8" i="2"/>
  <c r="G8" i="2"/>
  <c r="F8" i="2"/>
  <c r="E8" i="2"/>
  <c r="D8" i="2"/>
  <c r="V3" i="2"/>
  <c r="U3" i="2"/>
  <c r="T3" i="2"/>
  <c r="S3" i="2"/>
  <c r="Q3" i="2"/>
  <c r="P3" i="2"/>
  <c r="O3" i="2"/>
  <c r="N3" i="2"/>
  <c r="L3" i="2"/>
  <c r="K3" i="2"/>
  <c r="J3" i="2"/>
  <c r="I3" i="2"/>
  <c r="G3" i="2"/>
  <c r="F3" i="2"/>
  <c r="E3" i="2"/>
  <c r="D3" i="2"/>
  <c r="V44" i="1"/>
  <c r="U44" i="1"/>
  <c r="N44" i="1"/>
  <c r="M44" i="1"/>
  <c r="F44" i="1"/>
  <c r="E44" i="1"/>
  <c r="W38" i="1"/>
  <c r="W44" i="1" s="1"/>
  <c r="V38" i="1"/>
  <c r="U38" i="1"/>
  <c r="S38" i="1"/>
  <c r="R38" i="1"/>
  <c r="Q38" i="1"/>
  <c r="Q44" i="1" s="1"/>
  <c r="O38" i="1"/>
  <c r="O44" i="1" s="1"/>
  <c r="N38" i="1"/>
  <c r="M38" i="1"/>
  <c r="K38" i="1"/>
  <c r="J38" i="1"/>
  <c r="I38" i="1"/>
  <c r="I44" i="1" s="1"/>
  <c r="G38" i="1"/>
  <c r="G44" i="1" s="1"/>
  <c r="F38" i="1"/>
  <c r="E38" i="1"/>
  <c r="D38" i="1"/>
  <c r="Q36" i="1"/>
  <c r="O36" i="1"/>
  <c r="S33" i="1"/>
  <c r="S34" i="1" s="1"/>
  <c r="D33" i="1"/>
  <c r="D34" i="1" s="1"/>
  <c r="S31" i="1"/>
  <c r="R31" i="1"/>
  <c r="Q31" i="1"/>
  <c r="O31" i="1"/>
  <c r="N31" i="1"/>
  <c r="M31" i="1"/>
  <c r="K31" i="1"/>
  <c r="J31" i="1"/>
  <c r="I31" i="1"/>
  <c r="G31" i="1"/>
  <c r="F31" i="1"/>
  <c r="E31" i="1"/>
  <c r="D31" i="1"/>
  <c r="W27" i="1"/>
  <c r="V27" i="1"/>
  <c r="U27" i="1"/>
  <c r="S27" i="1"/>
  <c r="R27" i="1"/>
  <c r="R36" i="1" s="1"/>
  <c r="Q27" i="1"/>
  <c r="O27" i="1"/>
  <c r="N27" i="1"/>
  <c r="N36" i="1" s="1"/>
  <c r="M27" i="1"/>
  <c r="M36" i="1" s="1"/>
  <c r="K27" i="1"/>
  <c r="K36" i="1" s="1"/>
  <c r="J27" i="1"/>
  <c r="J36" i="1" s="1"/>
  <c r="I27" i="1"/>
  <c r="I36" i="1" s="1"/>
  <c r="G27" i="1"/>
  <c r="G36" i="1" s="1"/>
  <c r="F27" i="1"/>
  <c r="F36" i="1" s="1"/>
  <c r="E27" i="1"/>
  <c r="E36" i="1" s="1"/>
  <c r="D27" i="1"/>
  <c r="D36" i="1" s="1"/>
  <c r="W11" i="1"/>
  <c r="W39" i="1" s="1"/>
  <c r="W40" i="1" s="1"/>
  <c r="W41" i="1" s="1"/>
  <c r="S11" i="1"/>
  <c r="S39" i="1" s="1"/>
  <c r="R11" i="1"/>
  <c r="R39" i="1" s="1"/>
  <c r="Q11" i="1"/>
  <c r="O11" i="1"/>
  <c r="O39" i="1" s="1"/>
  <c r="O40" i="1" s="1"/>
  <c r="O41" i="1" s="1"/>
  <c r="K11" i="1"/>
  <c r="K39" i="1" s="1"/>
  <c r="J11" i="1"/>
  <c r="J39" i="1" s="1"/>
  <c r="I11" i="1"/>
  <c r="G11" i="1"/>
  <c r="G39" i="1" s="1"/>
  <c r="D11" i="1"/>
  <c r="D39" i="1" s="1"/>
  <c r="W10" i="1"/>
  <c r="V10" i="1"/>
  <c r="V11" i="1" s="1"/>
  <c r="U10" i="1"/>
  <c r="U11" i="1" s="1"/>
  <c r="S10" i="1"/>
  <c r="R10" i="1"/>
  <c r="Q10" i="1"/>
  <c r="O10" i="1"/>
  <c r="N10" i="1"/>
  <c r="N11" i="1" s="1"/>
  <c r="M10" i="1"/>
  <c r="M11" i="1" s="1"/>
  <c r="K10" i="1"/>
  <c r="J10" i="1"/>
  <c r="I10" i="1"/>
  <c r="G10" i="1"/>
  <c r="F10" i="1"/>
  <c r="F11" i="1" s="1"/>
  <c r="E10" i="1"/>
  <c r="E11" i="1" s="1"/>
  <c r="D10" i="1"/>
  <c r="W9" i="1"/>
  <c r="V9" i="1"/>
  <c r="U9" i="1"/>
  <c r="S9" i="1"/>
  <c r="R9" i="1"/>
  <c r="Q9" i="1"/>
  <c r="O9" i="1"/>
  <c r="N9" i="1"/>
  <c r="M9" i="1"/>
  <c r="K9" i="1"/>
  <c r="J9" i="1"/>
  <c r="I9" i="1"/>
  <c r="G9" i="1"/>
  <c r="F9" i="1"/>
  <c r="E9" i="1"/>
  <c r="D9" i="1"/>
  <c r="E57" i="4" l="1"/>
  <c r="G40" i="4"/>
  <c r="F75" i="4" s="1"/>
  <c r="K36" i="4"/>
  <c r="E97" i="4" s="1"/>
  <c r="L36" i="4"/>
  <c r="F97" i="4" s="1"/>
  <c r="S36" i="4"/>
  <c r="C99" i="4" s="1"/>
  <c r="C59" i="4"/>
  <c r="U34" i="4"/>
  <c r="E119" i="4" s="1"/>
  <c r="L34" i="4"/>
  <c r="F117" i="4" s="1"/>
  <c r="F34" i="4"/>
  <c r="E116" i="4" s="1"/>
  <c r="S44" i="4"/>
  <c r="T34" i="4"/>
  <c r="D119" i="4" s="1"/>
  <c r="O10" i="4"/>
  <c r="O39" i="4" s="1"/>
  <c r="O44" i="4" s="1"/>
  <c r="O45" i="4" s="1"/>
  <c r="E10" i="4"/>
  <c r="E39" i="4" s="1"/>
  <c r="E39" i="1"/>
  <c r="E33" i="1"/>
  <c r="E34" i="1" s="1"/>
  <c r="U33" i="1"/>
  <c r="U34" i="1" s="1"/>
  <c r="U39" i="1"/>
  <c r="U45" i="1" s="1"/>
  <c r="F33" i="1"/>
  <c r="F34" i="1" s="1"/>
  <c r="F39" i="1"/>
  <c r="F45" i="1" s="1"/>
  <c r="F46" i="1" s="1"/>
  <c r="F47" i="1" s="1"/>
  <c r="N33" i="1"/>
  <c r="N34" i="1" s="1"/>
  <c r="N39" i="1"/>
  <c r="N45" i="1" s="1"/>
  <c r="V33" i="1"/>
  <c r="V34" i="1" s="1"/>
  <c r="V39" i="1"/>
  <c r="V45" i="1" s="1"/>
  <c r="V46" i="1" s="1"/>
  <c r="V47" i="1" s="1"/>
  <c r="M33" i="1"/>
  <c r="M34" i="1" s="1"/>
  <c r="M39" i="1"/>
  <c r="M45" i="1" s="1"/>
  <c r="O33" i="1"/>
  <c r="O34" i="1" s="1"/>
  <c r="E34" i="2"/>
  <c r="E10" i="2"/>
  <c r="E39" i="2" s="1"/>
  <c r="L34" i="2"/>
  <c r="L10" i="2"/>
  <c r="L39" i="2" s="1"/>
  <c r="L44" i="2" s="1"/>
  <c r="L45" i="2" s="1"/>
  <c r="T34" i="2"/>
  <c r="T10" i="2"/>
  <c r="T39" i="2" s="1"/>
  <c r="G40" i="3"/>
  <c r="F75" i="3" s="1"/>
  <c r="G44" i="3"/>
  <c r="G45" i="3" s="1"/>
  <c r="N44" i="3"/>
  <c r="R33" i="1"/>
  <c r="R34" i="1" s="1"/>
  <c r="G40" i="1"/>
  <c r="G41" i="1" s="1"/>
  <c r="M46" i="1"/>
  <c r="M47" i="1" s="1"/>
  <c r="F34" i="2"/>
  <c r="F10" i="2"/>
  <c r="F39" i="2" s="1"/>
  <c r="N34" i="2"/>
  <c r="N10" i="2"/>
  <c r="N39" i="2" s="1"/>
  <c r="N44" i="2" s="1"/>
  <c r="U34" i="2"/>
  <c r="U10" i="2"/>
  <c r="U39" i="2" s="1"/>
  <c r="P44" i="2"/>
  <c r="S40" i="2"/>
  <c r="O45" i="2"/>
  <c r="L44" i="3"/>
  <c r="N45" i="3"/>
  <c r="N44" i="4"/>
  <c r="N45" i="4" s="1"/>
  <c r="N40" i="4"/>
  <c r="C77" i="4" s="1"/>
  <c r="R40" i="1"/>
  <c r="R41" i="1" s="1"/>
  <c r="R44" i="1"/>
  <c r="N46" i="1"/>
  <c r="N47" i="1" s="1"/>
  <c r="E40" i="2"/>
  <c r="T43" i="2"/>
  <c r="T40" i="2"/>
  <c r="E56" i="4"/>
  <c r="F31" i="4"/>
  <c r="F36" i="4"/>
  <c r="E96" i="4" s="1"/>
  <c r="C58" i="4"/>
  <c r="N31" i="4"/>
  <c r="N36" i="4"/>
  <c r="C98" i="4" s="1"/>
  <c r="E59" i="4"/>
  <c r="U31" i="4"/>
  <c r="U36" i="4"/>
  <c r="E99" i="4" s="1"/>
  <c r="J33" i="1"/>
  <c r="J34" i="1" s="1"/>
  <c r="W33" i="1"/>
  <c r="W34" i="1" s="1"/>
  <c r="D44" i="1"/>
  <c r="D46" i="1" s="1"/>
  <c r="D47" i="1" s="1"/>
  <c r="D40" i="1"/>
  <c r="D41" i="1" s="1"/>
  <c r="K44" i="1"/>
  <c r="K40" i="1"/>
  <c r="K41" i="1" s="1"/>
  <c r="S44" i="1"/>
  <c r="S40" i="1"/>
  <c r="S41" i="1" s="1"/>
  <c r="U46" i="1"/>
  <c r="U47" i="1" s="1"/>
  <c r="J36" i="2"/>
  <c r="J31" i="2"/>
  <c r="Q36" i="2"/>
  <c r="Q31" i="2"/>
  <c r="F40" i="2"/>
  <c r="N43" i="2"/>
  <c r="U40" i="2"/>
  <c r="U43" i="2"/>
  <c r="L40" i="2"/>
  <c r="K45" i="3"/>
  <c r="E44" i="4"/>
  <c r="D45" i="1"/>
  <c r="S45" i="1"/>
  <c r="K33" i="1"/>
  <c r="K34" i="1" s="1"/>
  <c r="E40" i="1"/>
  <c r="E41" i="1" s="1"/>
  <c r="M40" i="1"/>
  <c r="M41" i="1" s="1"/>
  <c r="K36" i="2"/>
  <c r="K31" i="2"/>
  <c r="S31" i="2"/>
  <c r="S36" i="2"/>
  <c r="D36" i="2"/>
  <c r="V45" i="2"/>
  <c r="P40" i="2"/>
  <c r="I44" i="2"/>
  <c r="I34" i="3"/>
  <c r="C117" i="3" s="1"/>
  <c r="I10" i="3"/>
  <c r="I39" i="3" s="1"/>
  <c r="P34" i="3"/>
  <c r="E118" i="3" s="1"/>
  <c r="P10" i="3"/>
  <c r="P39" i="3" s="1"/>
  <c r="P44" i="3" s="1"/>
  <c r="U44" i="3"/>
  <c r="U45" i="3" s="1"/>
  <c r="J40" i="3"/>
  <c r="D76" i="3" s="1"/>
  <c r="J43" i="3"/>
  <c r="Q43" i="3"/>
  <c r="F40" i="3"/>
  <c r="E75" i="3" s="1"/>
  <c r="F44" i="3"/>
  <c r="F45" i="3" s="1"/>
  <c r="F40" i="4"/>
  <c r="E75" i="4" s="1"/>
  <c r="F44" i="4"/>
  <c r="F45" i="4" s="1"/>
  <c r="U40" i="4"/>
  <c r="E78" i="4" s="1"/>
  <c r="U44" i="4"/>
  <c r="U45" i="4" s="1"/>
  <c r="I33" i="1"/>
  <c r="I34" i="1" s="1"/>
  <c r="I39" i="1"/>
  <c r="Q33" i="1"/>
  <c r="Q34" i="1" s="1"/>
  <c r="Q39" i="1"/>
  <c r="J45" i="1"/>
  <c r="R45" i="1"/>
  <c r="G33" i="1"/>
  <c r="G34" i="1" s="1"/>
  <c r="J40" i="1"/>
  <c r="J41" i="1" s="1"/>
  <c r="J44" i="1"/>
  <c r="J46" i="1" s="1"/>
  <c r="J47" i="1" s="1"/>
  <c r="F40" i="1"/>
  <c r="F41" i="1" s="1"/>
  <c r="N40" i="1"/>
  <c r="N41" i="1" s="1"/>
  <c r="I45" i="2"/>
  <c r="P45" i="2"/>
  <c r="J44" i="2"/>
  <c r="J45" i="2" s="1"/>
  <c r="J40" i="2"/>
  <c r="E43" i="2"/>
  <c r="Q44" i="2"/>
  <c r="Q45" i="2" s="1"/>
  <c r="V40" i="3"/>
  <c r="F78" i="3" s="1"/>
  <c r="V44" i="3"/>
  <c r="V45" i="3" s="1"/>
  <c r="D57" i="3"/>
  <c r="J31" i="3"/>
  <c r="F58" i="3"/>
  <c r="Q36" i="3"/>
  <c r="F98" i="3" s="1"/>
  <c r="D40" i="3"/>
  <c r="C75" i="3" s="1"/>
  <c r="D43" i="3"/>
  <c r="D45" i="3" s="1"/>
  <c r="K40" i="3"/>
  <c r="E76" i="3" s="1"/>
  <c r="S43" i="3"/>
  <c r="O44" i="3"/>
  <c r="O45" i="3" s="1"/>
  <c r="O40" i="3"/>
  <c r="D77" i="3" s="1"/>
  <c r="K34" i="4"/>
  <c r="E117" i="4" s="1"/>
  <c r="K10" i="4"/>
  <c r="K39" i="4" s="1"/>
  <c r="K40" i="4" s="1"/>
  <c r="E76" i="4" s="1"/>
  <c r="D34" i="4"/>
  <c r="C116" i="4" s="1"/>
  <c r="D10" i="2"/>
  <c r="D39" i="2" s="1"/>
  <c r="K10" i="2"/>
  <c r="K39" i="2" s="1"/>
  <c r="K44" i="2" s="1"/>
  <c r="S10" i="2"/>
  <c r="S39" i="2" s="1"/>
  <c r="S44" i="2" s="1"/>
  <c r="S45" i="2" s="1"/>
  <c r="I31" i="2"/>
  <c r="K43" i="2"/>
  <c r="S10" i="3"/>
  <c r="S39" i="3" s="1"/>
  <c r="S44" i="3" s="1"/>
  <c r="E56" i="3"/>
  <c r="F31" i="3"/>
  <c r="C58" i="3"/>
  <c r="N31" i="3"/>
  <c r="E59" i="3"/>
  <c r="U31" i="3"/>
  <c r="F36" i="3"/>
  <c r="E96" i="3" s="1"/>
  <c r="P36" i="3"/>
  <c r="E98" i="3" s="1"/>
  <c r="P43" i="3"/>
  <c r="P31" i="4"/>
  <c r="I36" i="4"/>
  <c r="C97" i="4" s="1"/>
  <c r="I43" i="4"/>
  <c r="C57" i="4"/>
  <c r="F56" i="3"/>
  <c r="G31" i="3"/>
  <c r="D58" i="3"/>
  <c r="O31" i="3"/>
  <c r="F59" i="3"/>
  <c r="V31" i="3"/>
  <c r="E34" i="3"/>
  <c r="D116" i="3" s="1"/>
  <c r="G36" i="3"/>
  <c r="F96" i="3" s="1"/>
  <c r="V44" i="4"/>
  <c r="V45" i="4" s="1"/>
  <c r="Q31" i="4"/>
  <c r="J36" i="4"/>
  <c r="D97" i="4" s="1"/>
  <c r="J40" i="4"/>
  <c r="D76" i="4" s="1"/>
  <c r="J43" i="4"/>
  <c r="P31" i="3"/>
  <c r="U36" i="3"/>
  <c r="E99" i="3" s="1"/>
  <c r="I34" i="4"/>
  <c r="C117" i="4" s="1"/>
  <c r="I10" i="4"/>
  <c r="I39" i="4" s="1"/>
  <c r="P34" i="4"/>
  <c r="E118" i="4" s="1"/>
  <c r="P10" i="4"/>
  <c r="P39" i="4" s="1"/>
  <c r="D40" i="4"/>
  <c r="C75" i="4" s="1"/>
  <c r="S40" i="4"/>
  <c r="C78" i="4" s="1"/>
  <c r="K43" i="4"/>
  <c r="T45" i="3"/>
  <c r="J34" i="4"/>
  <c r="D117" i="4" s="1"/>
  <c r="J10" i="4"/>
  <c r="J39" i="4" s="1"/>
  <c r="Q34" i="4"/>
  <c r="F118" i="4" s="1"/>
  <c r="Q10" i="4"/>
  <c r="Q39" i="4" s="1"/>
  <c r="E40" i="4"/>
  <c r="D75" i="4" s="1"/>
  <c r="E43" i="4"/>
  <c r="L40" i="4"/>
  <c r="F76" i="4" s="1"/>
  <c r="L43" i="4"/>
  <c r="T40" i="4"/>
  <c r="D78" i="4" s="1"/>
  <c r="E58" i="4"/>
  <c r="V40" i="4"/>
  <c r="F78" i="4" s="1"/>
  <c r="Q43" i="4"/>
  <c r="F58" i="4"/>
  <c r="G40" i="2"/>
  <c r="O40" i="2"/>
  <c r="V40" i="2"/>
  <c r="G43" i="2"/>
  <c r="G45" i="2" s="1"/>
  <c r="J34" i="3"/>
  <c r="D117" i="3" s="1"/>
  <c r="J10" i="3"/>
  <c r="J39" i="3" s="1"/>
  <c r="J44" i="3" s="1"/>
  <c r="Q34" i="3"/>
  <c r="F118" i="3" s="1"/>
  <c r="Q10" i="3"/>
  <c r="Q39" i="3" s="1"/>
  <c r="Q44" i="3" s="1"/>
  <c r="O36" i="3"/>
  <c r="D98" i="3" s="1"/>
  <c r="E40" i="3"/>
  <c r="D75" i="3" s="1"/>
  <c r="L40" i="3"/>
  <c r="F76" i="3" s="1"/>
  <c r="T40" i="3"/>
  <c r="D78" i="3" s="1"/>
  <c r="L43" i="3"/>
  <c r="L45" i="3" s="1"/>
  <c r="G44" i="4"/>
  <c r="G45" i="4" s="1"/>
  <c r="F56" i="4"/>
  <c r="G31" i="4"/>
  <c r="D58" i="4"/>
  <c r="O31" i="4"/>
  <c r="F59" i="4"/>
  <c r="V31" i="4"/>
  <c r="G36" i="4"/>
  <c r="F96" i="4" s="1"/>
  <c r="D43" i="4"/>
  <c r="S43" i="4"/>
  <c r="T43" i="4"/>
  <c r="D56" i="4"/>
  <c r="F57" i="4"/>
  <c r="D59" i="4"/>
  <c r="I44" i="4" l="1"/>
  <c r="Q44" i="4"/>
  <c r="Q45" i="4" s="1"/>
  <c r="O40" i="4"/>
  <c r="D77" i="4" s="1"/>
  <c r="S45" i="4"/>
  <c r="L44" i="4"/>
  <c r="L45" i="4" s="1"/>
  <c r="E45" i="4"/>
  <c r="P44" i="4"/>
  <c r="P45" i="4" s="1"/>
  <c r="T44" i="4"/>
  <c r="T45" i="4" s="1"/>
  <c r="Q40" i="4"/>
  <c r="F77" i="4" s="1"/>
  <c r="D44" i="2"/>
  <c r="D45" i="2" s="1"/>
  <c r="D40" i="2"/>
  <c r="I40" i="1"/>
  <c r="I41" i="1" s="1"/>
  <c r="I45" i="1"/>
  <c r="I46" i="1" s="1"/>
  <c r="I47" i="1" s="1"/>
  <c r="S45" i="3"/>
  <c r="V40" i="1"/>
  <c r="V41" i="1" s="1"/>
  <c r="U45" i="2"/>
  <c r="S46" i="1"/>
  <c r="S47" i="1" s="1"/>
  <c r="K40" i="2"/>
  <c r="I45" i="4"/>
  <c r="J44" i="4"/>
  <c r="J45" i="4" s="1"/>
  <c r="K45" i="2"/>
  <c r="K44" i="4"/>
  <c r="K45" i="4" s="1"/>
  <c r="S40" i="3"/>
  <c r="C78" i="3" s="1"/>
  <c r="Q45" i="3"/>
  <c r="U40" i="1"/>
  <c r="U41" i="1" s="1"/>
  <c r="F44" i="2"/>
  <c r="F45" i="2" s="1"/>
  <c r="E44" i="2"/>
  <c r="E45" i="2" s="1"/>
  <c r="E45" i="1"/>
  <c r="E46" i="1" s="1"/>
  <c r="E47" i="1" s="1"/>
  <c r="Q40" i="3"/>
  <c r="F77" i="3" s="1"/>
  <c r="I44" i="3"/>
  <c r="I45" i="3" s="1"/>
  <c r="I40" i="3"/>
  <c r="C76" i="3" s="1"/>
  <c r="N45" i="2"/>
  <c r="P40" i="4"/>
  <c r="E77" i="4" s="1"/>
  <c r="G45" i="1"/>
  <c r="G46" i="1" s="1"/>
  <c r="G47" i="1" s="1"/>
  <c r="P45" i="3"/>
  <c r="D44" i="4"/>
  <c r="D45" i="4" s="1"/>
  <c r="K45" i="1"/>
  <c r="K46" i="1" s="1"/>
  <c r="K47" i="1" s="1"/>
  <c r="Q40" i="1"/>
  <c r="Q41" i="1" s="1"/>
  <c r="Q45" i="1"/>
  <c r="Q46" i="1" s="1"/>
  <c r="Q47" i="1" s="1"/>
  <c r="J45" i="3"/>
  <c r="P40" i="3"/>
  <c r="E77" i="3" s="1"/>
  <c r="N40" i="2"/>
  <c r="W45" i="1"/>
  <c r="W46" i="1" s="1"/>
  <c r="W47" i="1" s="1"/>
  <c r="I40" i="4"/>
  <c r="C76" i="4" s="1"/>
  <c r="R46" i="1"/>
  <c r="R47" i="1" s="1"/>
  <c r="U44" i="2"/>
  <c r="O45" i="1"/>
  <c r="O46" i="1" s="1"/>
  <c r="O47" i="1" s="1"/>
  <c r="T44" i="2"/>
  <c r="T45" i="2" s="1"/>
  <c r="E44" i="3"/>
  <c r="E45" i="3" s="1"/>
</calcChain>
</file>

<file path=xl/sharedStrings.xml><?xml version="1.0" encoding="utf-8"?>
<sst xmlns="http://schemas.openxmlformats.org/spreadsheetml/2006/main" count="376" uniqueCount="98">
  <si>
    <t>basis: MOLAR FLOWS</t>
  </si>
  <si>
    <t>Temperatura (K) =</t>
  </si>
  <si>
    <t>Pressão (bar) =</t>
  </si>
  <si>
    <t>SYNGAS Flow (mol/s) IN =</t>
  </si>
  <si>
    <t>Molar Flow (mol/s) OUT =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</si>
  <si>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 xml:space="preserve">2 </t>
    </r>
    <r>
      <rPr>
        <b/>
        <sz val="10"/>
        <rFont val="Arial"/>
        <family val="2"/>
        <charset val="1"/>
      </rPr>
      <t xml:space="preserve">: </t>
    </r>
    <r>
      <rPr>
        <sz val="10"/>
        <rFont val="Arial"/>
        <family val="2"/>
        <charset val="1"/>
      </rPr>
      <t>CO =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</si>
  <si>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</si>
  <si>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</si>
  <si>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CO,in</t>
    </r>
    <r>
      <rPr>
        <sz val="10"/>
        <rFont val="Arial"/>
        <family val="2"/>
        <charset val="1"/>
      </rPr>
      <t xml:space="preserve">  (mol/s)</t>
    </r>
  </si>
  <si>
    <t>Wcat_total (kg)=</t>
  </si>
  <si>
    <t>15 kg</t>
  </si>
  <si>
    <t>25 kg</t>
  </si>
  <si>
    <t>35 kg</t>
  </si>
  <si>
    <t>50 kg</t>
  </si>
  <si>
    <t>mol/s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</si>
  <si>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</si>
  <si>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</si>
  <si>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0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</si>
  <si>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</si>
  <si>
    <t>g/mol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</si>
  <si>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</si>
  <si>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</si>
  <si>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</si>
  <si>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</si>
  <si>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</si>
  <si>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</si>
  <si>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</si>
  <si>
    <t>Tot Gasol (mol/s)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</si>
  <si>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16</t>
    </r>
  </si>
  <si>
    <r>
      <rPr>
        <sz val="10"/>
        <rFont val="Arial"/>
        <family val="2"/>
        <charset val="1"/>
      </rPr>
      <t>Conversão de CO ( X</t>
    </r>
    <r>
      <rPr>
        <vertAlign val="subscript"/>
        <sz val="10"/>
        <rFont val="Arial"/>
        <family val="2"/>
        <charset val="1"/>
      </rPr>
      <t>CO</t>
    </r>
    <r>
      <rPr>
        <sz val="10"/>
        <rFont val="Arial"/>
        <family val="2"/>
        <charset val="1"/>
      </rPr>
      <t xml:space="preserve"> )</t>
    </r>
  </si>
  <si>
    <r>
      <rPr>
        <sz val="10"/>
        <rFont val="Arial"/>
        <family val="2"/>
        <charset val="1"/>
      </rPr>
      <t>(F</t>
    </r>
    <r>
      <rPr>
        <vertAlign val="subscript"/>
        <sz val="10"/>
        <rFont val="Arial"/>
        <family val="2"/>
        <charset val="1"/>
      </rPr>
      <t>CO,in</t>
    </r>
    <r>
      <rPr>
        <sz val="10"/>
        <rFont val="Arial"/>
        <family val="2"/>
        <charset val="1"/>
      </rPr>
      <t xml:space="preserve"> – 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)/F</t>
    </r>
    <r>
      <rPr>
        <vertAlign val="subscript"/>
        <sz val="10"/>
        <rFont val="Arial"/>
        <family val="2"/>
        <charset val="1"/>
      </rPr>
      <t>CO,in</t>
    </r>
  </si>
  <si>
    <t>C16/GASOL</t>
  </si>
  <si>
    <t xml:space="preserve">Efic de Carbono para gasol </t>
  </si>
  <si>
    <t>numerador</t>
  </si>
  <si>
    <t xml:space="preserve">5 a 11 </t>
  </si>
  <si>
    <t>denominador</t>
  </si>
  <si>
    <t>divisão</t>
  </si>
  <si>
    <t>eficien carbono na gasol</t>
  </si>
  <si>
    <t>por CO convertido</t>
  </si>
  <si>
    <t>Temperatura ( K ) =</t>
  </si>
  <si>
    <t>463 K</t>
  </si>
  <si>
    <t>503 K</t>
  </si>
  <si>
    <t>543 K</t>
  </si>
  <si>
    <t>583 K</t>
  </si>
  <si>
    <t>F</t>
  </si>
  <si>
    <t>Pressão ( Pa ) =</t>
  </si>
  <si>
    <t>E</t>
  </si>
  <si>
    <t>“SYNGAS” Flow IN (mol/s) =</t>
  </si>
  <si>
    <t>D</t>
  </si>
  <si>
    <t>Basis: MOLAR FRACTION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</si>
  <si>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</si>
  <si>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</si>
  <si>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CO,IN (mol/s)</t>
    </r>
  </si>
  <si>
    <t>Basis: MOLAR FLOW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</si>
  <si>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</si>
  <si>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</si>
  <si>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</si>
  <si>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</si>
  <si>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</si>
  <si>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</si>
  <si>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</si>
  <si>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</si>
  <si>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</si>
  <si>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</si>
  <si>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</si>
  <si>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</si>
  <si>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</si>
  <si>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</si>
  <si>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</si>
  <si>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</si>
  <si>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r>
      <rPr>
        <b/>
        <sz val="10"/>
        <rFont val="Arial"/>
        <family val="2"/>
        <charset val="1"/>
      </rPr>
      <t>Fgas 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</si>
  <si>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t>OUT</t>
  </si>
  <si>
    <r>
      <rPr>
        <sz val="10"/>
        <rFont val="Arial"/>
        <family val="2"/>
        <charset val="1"/>
      </rPr>
      <t xml:space="preserve">Fheavy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                 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34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</si>
  <si>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TOTAL,OUT</t>
    </r>
    <r>
      <rPr>
        <sz val="10"/>
        <rFont val="Arial"/>
        <family val="2"/>
        <charset val="1"/>
      </rPr>
      <t xml:space="preserve">  (mol/s) =</t>
    </r>
  </si>
  <si>
    <t>XCO = Conversão de CO =</t>
  </si>
  <si>
    <r>
      <rPr>
        <sz val="12"/>
        <rFont val="Arial"/>
        <family val="2"/>
        <charset val="1"/>
      </rPr>
      <t xml:space="preserve"> (F</t>
    </r>
    <r>
      <rPr>
        <vertAlign val="subscript"/>
        <sz val="12"/>
        <rFont val="Arial"/>
        <family val="2"/>
        <charset val="1"/>
      </rPr>
      <t>CO,in</t>
    </r>
    <r>
      <rPr>
        <sz val="12"/>
        <rFont val="Arial"/>
        <family val="2"/>
        <charset val="1"/>
      </rPr>
      <t xml:space="preserve"> – F</t>
    </r>
    <r>
      <rPr>
        <vertAlign val="subscript"/>
        <sz val="12"/>
        <rFont val="Arial"/>
        <family val="2"/>
        <charset val="1"/>
      </rPr>
      <t>CO,out</t>
    </r>
    <r>
      <rPr>
        <sz val="12"/>
        <rFont val="Arial"/>
        <family val="2"/>
        <charset val="1"/>
      </rPr>
      <t xml:space="preserve"> )/F</t>
    </r>
    <r>
      <rPr>
        <vertAlign val="subscript"/>
        <sz val="12"/>
        <rFont val="Arial"/>
        <family val="2"/>
        <charset val="1"/>
      </rPr>
      <t>CO,in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</si>
  <si>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</t>
    </r>
  </si>
  <si>
    <t>(sobrecrescimento)</t>
  </si>
  <si>
    <t>Num</t>
  </si>
  <si>
    <t>Den</t>
  </si>
  <si>
    <r>
      <rPr>
        <sz val="10"/>
        <rFont val="Arial"/>
        <family val="2"/>
        <charset val="1"/>
      </rPr>
      <t>Gasolina ( 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 xml:space="preserve"> – 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 xml:space="preserve"> ) / COin    (%)</t>
    </r>
  </si>
  <si>
    <t>÷</t>
  </si>
  <si>
    <r>
      <rPr>
        <sz val="10"/>
        <rFont val="Arial"/>
        <family val="2"/>
        <charset val="1"/>
      </rPr>
      <t>Gasolina 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 xml:space="preserve"> – 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)/C0convertido (%)</t>
    </r>
  </si>
  <si>
    <r>
      <rPr>
        <sz val="10"/>
        <rFont val="Arial"/>
        <family val="2"/>
        <charset val="1"/>
      </rPr>
      <t xml:space="preserve"> (F</t>
    </r>
    <r>
      <rPr>
        <vertAlign val="subscript"/>
        <sz val="10"/>
        <rFont val="Arial"/>
        <family val="2"/>
        <charset val="1"/>
      </rPr>
      <t>CO,in</t>
    </r>
    <r>
      <rPr>
        <sz val="10"/>
        <rFont val="Arial"/>
        <family val="2"/>
        <charset val="1"/>
      </rPr>
      <t xml:space="preserve"> – 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)/F</t>
    </r>
    <r>
      <rPr>
        <vertAlign val="subscript"/>
        <sz val="10"/>
        <rFont val="Arial"/>
        <family val="2"/>
        <charset val="1"/>
      </rPr>
      <t>CO,in</t>
    </r>
  </si>
  <si>
    <t>Gráfico 1 — Gasolina (C₅–C₁₁, mol/s) vs Pressão</t>
  </si>
  <si>
    <t>T=543 K (25 kg)</t>
  </si>
  <si>
    <t>T=543 K (35 kg)</t>
  </si>
  <si>
    <r>
      <rPr>
        <b/>
        <sz val="10"/>
        <rFont val="Arial"/>
        <family val="2"/>
        <charset val="1"/>
      </rPr>
      <t>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</si>
  <si>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t>T=583 K (25 kg)</t>
  </si>
  <si>
    <t>T=583 K (35 kg)</t>
  </si>
  <si>
    <t>Gráfico 2 — Eficiência de carbono para gasolina (%) vs Pressão</t>
  </si>
  <si>
    <t>Pressão (MPa)</t>
  </si>
  <si>
    <t>Gráfico 3 — C₁₆/Gasolina vs Pressão (indicador de sobrecrescimento)</t>
  </si>
  <si>
    <t>Pressão (atm)</t>
  </si>
  <si>
    <t>sobrecrescimento</t>
  </si>
  <si>
    <t>Gráfico 4 — Conversão de CO (%) vs Pressão</t>
  </si>
  <si>
    <r>
      <rPr>
        <sz val="10"/>
        <rFont val="Arial"/>
        <family val="2"/>
        <charset val="1"/>
      </rPr>
      <t xml:space="preserve"> (F</t>
    </r>
    <r>
      <rPr>
        <vertAlign val="subscript"/>
        <sz val="10"/>
        <rFont val="Arial"/>
        <family val="2"/>
        <charset val="1"/>
      </rPr>
      <t>CO,in</t>
    </r>
    <r>
      <rPr>
        <sz val="10"/>
        <rFont val="Arial"/>
        <family val="2"/>
        <charset val="1"/>
      </rPr>
      <t xml:space="preserve"> – 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)/F</t>
    </r>
    <r>
      <rPr>
        <vertAlign val="subscript"/>
        <sz val="10"/>
        <rFont val="Arial"/>
        <family val="2"/>
        <charset val="1"/>
      </rPr>
      <t>CO,in     (%)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</si>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</sst>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"/>
  </numFmts>
  <fonts count="18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EE"/>
      <name val="Arial"/>
      <family val="2"/>
      <charset val="1"/>
    </font>
    <font>
      <sz val="10"/>
      <color rgb="FF18A303"/>
      <name val="Arial"/>
      <family val="2"/>
      <charset val="1"/>
    </font>
    <font>
      <vertAlign val="subscript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b/>
      <sz val="10"/>
      <color theme="10"/>
      <name val="Arial"/>
      <family val="2"/>
      <charset val="1"/>
    </font>
    <font>
      <sz val="10"/>
      <color rgb="FF18A303"/>
      <name val="Times New Roman"/>
      <family val="1"/>
      <charset val="1"/>
    </font>
    <font>
      <b/>
      <vertAlign val="subscript"/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color rgb="FF2E8B57"/>
      <name val="Times New Roman"/>
      <family val="1"/>
      <charset val="1"/>
    </font>
    <font>
      <sz val="12"/>
      <name val="Arial"/>
      <family val="2"/>
      <charset val="1"/>
    </font>
    <font>
      <vertAlign val="subscript"/>
      <sz val="12"/>
      <name val="Arial"/>
      <family val="2"/>
      <charset val="1"/>
    </font>
    <font>
      <b/>
      <sz val="10"/>
      <color rgb="FF2E8B57"/>
      <name val="Arial"/>
      <family val="2"/>
      <charset val="1"/>
    </font>
    <font>
      <sz val="10"/>
      <color rgb="FF2E8B57"/>
      <name val="Arial"/>
      <family val="2"/>
      <charset val="1"/>
    </font>
    <font>
      <b/>
      <sz val="18"/>
      <color rgb="FF000000"/>
      <name val="URWPalladioL-Bold"/>
    </font>
    <font>
      <b/>
      <sz val="10"/>
      <color rgb="FF000000"/>
      <name val="URWPalladioL-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546"/>
        <b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1" fontId="6" fillId="0" borderId="0" xfId="0" applyNumberFormat="1" applyFont="1" applyAlignment="1">
      <alignment wrapText="1"/>
    </xf>
    <xf numFmtId="0" fontId="6" fillId="0" borderId="1" xfId="0" applyFont="1" applyBorder="1" applyAlignment="1">
      <alignment wrapText="1"/>
    </xf>
    <xf numFmtId="0" fontId="5" fillId="3" borderId="0" xfId="0" applyFont="1" applyFill="1"/>
    <xf numFmtId="0" fontId="8" fillId="0" borderId="0" xfId="0" applyFont="1" applyAlignment="1">
      <alignment wrapText="1"/>
    </xf>
    <xf numFmtId="10" fontId="8" fillId="0" borderId="0" xfId="0" applyNumberFormat="1" applyFont="1" applyAlignment="1">
      <alignment horizontal="center" wrapText="1"/>
    </xf>
    <xf numFmtId="10" fontId="0" fillId="0" borderId="0" xfId="0" applyNumberFormat="1"/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6" fillId="0" borderId="0" xfId="0" applyNumberFormat="1" applyFont="1" applyAlignment="1">
      <alignment wrapText="1"/>
    </xf>
    <xf numFmtId="164" fontId="0" fillId="0" borderId="0" xfId="0" applyNumberFormat="1"/>
    <xf numFmtId="164" fontId="6" fillId="0" borderId="1" xfId="0" applyNumberFormat="1" applyFont="1" applyBorder="1" applyAlignment="1">
      <alignment wrapText="1"/>
    </xf>
    <xf numFmtId="0" fontId="1" fillId="0" borderId="0" xfId="0" applyFont="1" applyAlignment="1">
      <alignment horizontal="right"/>
    </xf>
    <xf numFmtId="164" fontId="10" fillId="0" borderId="0" xfId="0" applyNumberFormat="1" applyFont="1" applyAlignment="1">
      <alignment wrapText="1"/>
    </xf>
    <xf numFmtId="164" fontId="11" fillId="0" borderId="0" xfId="0" applyNumberFormat="1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0" xfId="0" applyFont="1" applyAlignment="1">
      <alignment horizontal="right" vertical="center"/>
    </xf>
    <xf numFmtId="164" fontId="6" fillId="0" borderId="0" xfId="0" applyNumberFormat="1" applyFont="1" applyAlignment="1">
      <alignment vertical="center" wrapText="1"/>
    </xf>
    <xf numFmtId="0" fontId="1" fillId="0" borderId="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right"/>
    </xf>
    <xf numFmtId="10" fontId="0" fillId="0" borderId="0" xfId="0" applyNumberFormat="1" applyAlignment="1">
      <alignment horizontal="center"/>
    </xf>
    <xf numFmtId="10" fontId="14" fillId="2" borderId="0" xfId="0" applyNumberFormat="1" applyFont="1" applyFill="1" applyAlignment="1">
      <alignment horizontal="center"/>
    </xf>
    <xf numFmtId="10" fontId="14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1" fontId="0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0" fillId="0" borderId="3" xfId="0" applyFont="1" applyBorder="1"/>
    <xf numFmtId="164" fontId="0" fillId="0" borderId="0" xfId="0" applyNumberFormat="1" applyFont="1" applyAlignment="1">
      <alignment vertical="center" wrapText="1"/>
    </xf>
    <xf numFmtId="164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 applyAlignment="1"/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65" fontId="0" fillId="0" borderId="0" xfId="0" applyNumberFormat="1"/>
    <xf numFmtId="0" fontId="16" fillId="0" borderId="0" xfId="0" applyFont="1"/>
    <xf numFmtId="0" fontId="17" fillId="0" borderId="0" xfId="0" applyFont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200" b="1" u="none" strike="noStrike" spc="150">
                <a:solidFill>
                  <a:schemeClr val="tx1">
                    <a:lumMod val="50000"/>
                    <a:lumOff val="50000"/>
                  </a:schemeClr>
                </a:solidFill>
                <a:uFillTx/>
                <a:latin typeface="Arial"/>
                <a:ea typeface="DejaVu Sans"/>
              </a:rPr>
              <a:t>Gasolina (C₅–C₁₁, mol/s)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'Massa Cat  x Pressao 543K_583K '!$B$56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38160">
              <a:solidFill>
                <a:srgbClr val="18A3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'!$C$56:$F$56</c:f>
              <c:numCache>
                <c:formatCode>0.0000000000</c:formatCode>
                <c:ptCount val="4"/>
                <c:pt idx="0">
                  <c:v>8.2885483499999996E-2</c:v>
                </c:pt>
                <c:pt idx="1">
                  <c:v>0.10394621400000001</c:v>
                </c:pt>
                <c:pt idx="2">
                  <c:v>0.11701672300000002</c:v>
                </c:pt>
                <c:pt idx="3">
                  <c:v>0.126207663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B-4468-B418-62B61B4DF24A}"/>
            </c:ext>
          </c:extLst>
        </c:ser>
        <c:ser>
          <c:idx val="1"/>
          <c:order val="1"/>
          <c:tx>
            <c:strRef>
              <c:f>'Massa Cat  x Pressao 543K_583K '!$B$57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73080">
              <a:solidFill>
                <a:srgbClr val="0369A3"/>
              </a:solidFill>
              <a:round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67B-4468-B418-62B61B4DF24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F67B-4468-B418-62B61B4DF24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F67B-4468-B418-62B61B4DF24A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B-4468-B418-62B61B4DF24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B-4468-B418-62B61B4DF24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B-4468-B418-62B61B4DF2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73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'!$C$57:$F$57</c:f>
              <c:numCache>
                <c:formatCode>0.0000000000</c:formatCode>
                <c:ptCount val="4"/>
                <c:pt idx="0">
                  <c:v>8.3054905600000006E-2</c:v>
                </c:pt>
                <c:pt idx="1">
                  <c:v>0.10393884900000001</c:v>
                </c:pt>
                <c:pt idx="2">
                  <c:v>0.117257404</c:v>
                </c:pt>
                <c:pt idx="3">
                  <c:v>0.127059326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7B-4468-B418-62B61B4DF24A}"/>
            </c:ext>
          </c:extLst>
        </c:ser>
        <c:ser>
          <c:idx val="2"/>
          <c:order val="2"/>
          <c:tx>
            <c:strRef>
              <c:f>'Massa Cat  x Pressao 543K_583K '!$B$58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38160">
              <a:solidFill>
                <a:srgbClr val="A33E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'!$C$58:$F$58</c:f>
              <c:numCache>
                <c:formatCode>0.0000000000</c:formatCode>
                <c:ptCount val="4"/>
                <c:pt idx="0">
                  <c:v>9.0440382999999985E-2</c:v>
                </c:pt>
                <c:pt idx="1">
                  <c:v>0.112293778</c:v>
                </c:pt>
                <c:pt idx="2">
                  <c:v>0.12616232399999999</c:v>
                </c:pt>
                <c:pt idx="3">
                  <c:v>0.13632218100000001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7B-4468-B418-62B61B4DF24A}"/>
            </c:ext>
          </c:extLst>
        </c:ser>
        <c:ser>
          <c:idx val="3"/>
          <c:order val="3"/>
          <c:tx>
            <c:strRef>
              <c:f>'Massa Cat  x Pressao 543K_583K '!$B$59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38160">
              <a:solidFill>
                <a:srgbClr val="8E03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'!$C$59:$F$59</c:f>
              <c:numCache>
                <c:formatCode>0.0000000000</c:formatCode>
                <c:ptCount val="4"/>
                <c:pt idx="0">
                  <c:v>9.0134220600000009E-2</c:v>
                </c:pt>
                <c:pt idx="1">
                  <c:v>0.11199497600000001</c:v>
                </c:pt>
                <c:pt idx="2">
                  <c:v>0.12595657600000001</c:v>
                </c:pt>
                <c:pt idx="3">
                  <c:v>0.13614912099999998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7B-4468-B418-62B61B4D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433210"/>
        <c:axId val="48607473"/>
      </c:lineChart>
      <c:catAx>
        <c:axId val="16433210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  <a:alpha val="32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Pressão (bar)</a:t>
                </a:r>
              </a:p>
            </c:rich>
          </c:tx>
          <c:layout>
            <c:manualLayout>
              <c:xMode val="edge"/>
              <c:yMode val="edge"/>
              <c:x val="0.79425686087896319"/>
              <c:y val="0.9069782271316807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324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48607473"/>
        <c:crosses val="autoZero"/>
        <c:auto val="1"/>
        <c:lblAlgn val="ctr"/>
        <c:lblOffset val="100"/>
        <c:noMultiLvlLbl val="0"/>
      </c:catAx>
      <c:valAx>
        <c:axId val="48607473"/>
        <c:scaling>
          <c:orientation val="minMax"/>
          <c:max val="0.14000000000000001"/>
          <c:min val="0.08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  <a:alpha val="32000"/>
                </a:schemeClr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3240">
            <a:solidFill>
              <a:schemeClr val="accent3"/>
            </a:solidFill>
            <a:prstDash val="sysDash"/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16433210"/>
        <c:crosses val="autoZero"/>
        <c:crossBetween val="between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0.431165573053368"/>
          <c:y val="0.66802341113458497"/>
          <c:w val="0.49322440944881901"/>
          <c:h val="0.111501232506992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Eficiência de carbono para gasolina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'Massa Cat  x Pressao 543K_583K '!$B$75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'!$C$75:$F$75</c:f>
              <c:numCache>
                <c:formatCode>0.00%</c:formatCode>
                <c:ptCount val="4"/>
                <c:pt idx="0">
                  <c:v>0.19048465545000001</c:v>
                </c:pt>
                <c:pt idx="1">
                  <c:v>0.23690090040000003</c:v>
                </c:pt>
                <c:pt idx="2">
                  <c:v>0.265210485</c:v>
                </c:pt>
                <c:pt idx="3">
                  <c:v>0.28482126930000001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1-459C-AB1B-0CA153F27A54}"/>
            </c:ext>
          </c:extLst>
        </c:ser>
        <c:ser>
          <c:idx val="1"/>
          <c:order val="1"/>
          <c:tx>
            <c:strRef>
              <c:f>'Massa Cat  x Pressao 543K_583K '!$B$76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'!$C$76:$F$76</c:f>
              <c:numCache>
                <c:formatCode>0.00%</c:formatCode>
                <c:ptCount val="4"/>
                <c:pt idx="0">
                  <c:v>0.19087986372000001</c:v>
                </c:pt>
                <c:pt idx="1">
                  <c:v>0.23688881370000001</c:v>
                </c:pt>
                <c:pt idx="2">
                  <c:v>0.26576607930000001</c:v>
                </c:pt>
                <c:pt idx="3">
                  <c:v>0.28676703420000005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1-459C-AB1B-0CA153F27A54}"/>
            </c:ext>
          </c:extLst>
        </c:ser>
        <c:ser>
          <c:idx val="2"/>
          <c:order val="2"/>
          <c:tx>
            <c:strRef>
              <c:f>'Massa Cat  x Pressao 543K_583K '!$B$77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'!$C$77:$F$77</c:f>
              <c:numCache>
                <c:formatCode>0.00%</c:formatCode>
                <c:ptCount val="4"/>
                <c:pt idx="0">
                  <c:v>0.20722291380000002</c:v>
                </c:pt>
                <c:pt idx="1">
                  <c:v>0.25501095960000003</c:v>
                </c:pt>
                <c:pt idx="2">
                  <c:v>0.28481311709999996</c:v>
                </c:pt>
                <c:pt idx="3">
                  <c:v>0.30635781360000003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1-459C-AB1B-0CA153F27A54}"/>
            </c:ext>
          </c:extLst>
        </c:ser>
        <c:ser>
          <c:idx val="3"/>
          <c:order val="3"/>
          <c:tx>
            <c:strRef>
              <c:f>'Massa Cat  x Pressao 543K_583K '!$B$78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'!$C$78:$F$78</c:f>
              <c:numCache>
                <c:formatCode>0.00%</c:formatCode>
                <c:ptCount val="4"/>
                <c:pt idx="0">
                  <c:v>0.20653602738000001</c:v>
                </c:pt>
                <c:pt idx="1">
                  <c:v>0.25435438650000003</c:v>
                </c:pt>
                <c:pt idx="2">
                  <c:v>0.28437631050000006</c:v>
                </c:pt>
                <c:pt idx="3">
                  <c:v>0.30599991869999998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A1-459C-AB1B-0CA153F2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914570"/>
        <c:axId val="83099943"/>
      </c:lineChart>
      <c:catAx>
        <c:axId val="56914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u="none" strike="noStrike" baseline="0">
                    <a:effectLst/>
                  </a:rPr>
                  <a:t>Pressão 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7914788892750827"/>
              <c:y val="0.7137372043168940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83099943"/>
        <c:crosses val="autoZero"/>
        <c:auto val="1"/>
        <c:lblAlgn val="ctr"/>
        <c:lblOffset val="100"/>
        <c:noMultiLvlLbl val="0"/>
      </c:catAx>
      <c:valAx>
        <c:axId val="83099943"/>
        <c:scaling>
          <c:orientation val="minMax"/>
          <c:min val="0.17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569145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C₁₆/Gasolina (sobrecrescimento)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'Massa Cat  x Pressao 543K_583K '!$B$96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'!$C$96:$F$96</c:f>
              <c:numCache>
                <c:formatCode>0.0000000000</c:formatCode>
                <c:ptCount val="4"/>
                <c:pt idx="0">
                  <c:v>1.9349666941377017</c:v>
                </c:pt>
                <c:pt idx="1">
                  <c:v>1.4529026521350743</c:v>
                </c:pt>
                <c:pt idx="2">
                  <c:v>1.235867030732009</c:v>
                </c:pt>
                <c:pt idx="3">
                  <c:v>1.1056216134831687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0-45D9-9DD5-B4A3DB027E7C}"/>
            </c:ext>
          </c:extLst>
        </c:ser>
        <c:ser>
          <c:idx val="1"/>
          <c:order val="1"/>
          <c:tx>
            <c:strRef>
              <c:f>'Massa Cat  x Pressao 543K_583K '!$B$97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'!$C$97:$F$97</c:f>
              <c:numCache>
                <c:formatCode>0.0000000000</c:formatCode>
                <c:ptCount val="4"/>
                <c:pt idx="0">
                  <c:v>1.9387961353603655</c:v>
                </c:pt>
                <c:pt idx="1">
                  <c:v>1.4555021674330835</c:v>
                </c:pt>
                <c:pt idx="2">
                  <c:v>1.2389326818117175</c:v>
                </c:pt>
                <c:pt idx="3">
                  <c:v>1.1098134583210366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0-45D9-9DD5-B4A3DB027E7C}"/>
            </c:ext>
          </c:extLst>
        </c:ser>
        <c:ser>
          <c:idx val="2"/>
          <c:order val="2"/>
          <c:tx>
            <c:strRef>
              <c:f>'Massa Cat  x Pressao 543K_583K '!$B$98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'!$C$98:$F$98</c:f>
              <c:numCache>
                <c:formatCode>0.0000000000</c:formatCode>
                <c:ptCount val="4"/>
                <c:pt idx="0">
                  <c:v>1.7462541042091786</c:v>
                </c:pt>
                <c:pt idx="1">
                  <c:v>1.3207547438647935</c:v>
                </c:pt>
                <c:pt idx="2">
                  <c:v>1.1288692652808141</c:v>
                </c:pt>
                <c:pt idx="3">
                  <c:v>1.0140486235325121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0-45D9-9DD5-B4A3DB027E7C}"/>
            </c:ext>
          </c:extLst>
        </c:ser>
        <c:ser>
          <c:idx val="3"/>
          <c:order val="3"/>
          <c:tx>
            <c:strRef>
              <c:f>'Massa Cat  x Pressao 543K_583K '!$B$99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'!$C$99:$F$99</c:f>
              <c:numCache>
                <c:formatCode>0.0000000000</c:formatCode>
                <c:ptCount val="4"/>
                <c:pt idx="0">
                  <c:v>1.758239089937834</c:v>
                </c:pt>
                <c:pt idx="1">
                  <c:v>1.3322210989178656</c:v>
                </c:pt>
                <c:pt idx="2">
                  <c:v>1.1394184770472007</c:v>
                </c:pt>
                <c:pt idx="3">
                  <c:v>1.0237118607618483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40-45D9-9DD5-B4A3DB02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109067"/>
        <c:axId val="72554947"/>
      </c:lineChart>
      <c:catAx>
        <c:axId val="43109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u="none" strike="noStrike" baseline="0">
                    <a:effectLst/>
                  </a:rPr>
                  <a:t>Pressão 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76896332005667067"/>
              <c:y val="0.721970205418758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72554947"/>
        <c:crosses val="autoZero"/>
        <c:auto val="1"/>
        <c:lblAlgn val="ctr"/>
        <c:lblOffset val="100"/>
        <c:noMultiLvlLbl val="0"/>
      </c:catAx>
      <c:valAx>
        <c:axId val="72554947"/>
        <c:scaling>
          <c:orientation val="minMax"/>
          <c:max val="2"/>
          <c:min val="1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431090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Conversão de CO (%) </a:t>
            </a:r>
          </a:p>
        </c:rich>
      </c:tx>
      <c:layout>
        <c:manualLayout>
          <c:xMode val="edge"/>
          <c:yMode val="edge"/>
          <c:x val="0.34236048940614699"/>
          <c:y val="1.8552631578947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'Massa Cat  x Pressao 543K_583K '!$B$116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'!$C$116:$F$116</c:f>
              <c:numCache>
                <c:formatCode>0.00%</c:formatCode>
                <c:ptCount val="4"/>
                <c:pt idx="0">
                  <c:v>0.96068065599999997</c:v>
                </c:pt>
                <c:pt idx="1">
                  <c:v>0.96324774699999993</c:v>
                </c:pt>
                <c:pt idx="2">
                  <c:v>0.96257869299999999</c:v>
                </c:pt>
                <c:pt idx="3">
                  <c:v>0.96026459199999992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5-4FDF-9260-826BD2637882}"/>
            </c:ext>
          </c:extLst>
        </c:ser>
        <c:ser>
          <c:idx val="1"/>
          <c:order val="1"/>
          <c:tx>
            <c:strRef>
              <c:f>'Massa Cat  x Pressao 543K_583K '!$B$117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'!$C$117:$F$117</c:f>
              <c:numCache>
                <c:formatCode>0.00%</c:formatCode>
                <c:ptCount val="4"/>
                <c:pt idx="0">
                  <c:v>0.96426024100000007</c:v>
                </c:pt>
                <c:pt idx="1">
                  <c:v>0.96481193500000006</c:v>
                </c:pt>
                <c:pt idx="2">
                  <c:v>0.96699363699999996</c:v>
                </c:pt>
                <c:pt idx="3">
                  <c:v>0.97044198429999995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5-4FDF-9260-826BD2637882}"/>
            </c:ext>
          </c:extLst>
        </c:ser>
        <c:ser>
          <c:idx val="2"/>
          <c:order val="2"/>
          <c:tx>
            <c:strRef>
              <c:f>'Massa Cat  x Pressao 543K_583K '!$B$118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'!$C$118:$F$118</c:f>
              <c:numCache>
                <c:formatCode>0.00%</c:formatCode>
                <c:ptCount val="4"/>
                <c:pt idx="0">
                  <c:v>0.96580303000000001</c:v>
                </c:pt>
                <c:pt idx="1">
                  <c:v>0.96886790200000006</c:v>
                </c:pt>
                <c:pt idx="2">
                  <c:v>0.97266257410000001</c:v>
                </c:pt>
                <c:pt idx="3">
                  <c:v>0.97699311700000002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C5-4FDF-9260-826BD2637882}"/>
            </c:ext>
          </c:extLst>
        </c:ser>
        <c:ser>
          <c:idx val="3"/>
          <c:order val="3"/>
          <c:tx>
            <c:strRef>
              <c:f>'Massa Cat  x Pressao 543K_583K '!$B$119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'Massa Cat  x Pressao 543K_583K 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'Massa Cat  x Pressao 543K_583K '!$C$119:$F$119</c:f>
              <c:numCache>
                <c:formatCode>0.00%</c:formatCode>
                <c:ptCount val="4"/>
                <c:pt idx="0">
                  <c:v>0.96788880399999999</c:v>
                </c:pt>
                <c:pt idx="1">
                  <c:v>0.97300605910000004</c:v>
                </c:pt>
                <c:pt idx="2">
                  <c:v>0.97843325740000009</c:v>
                </c:pt>
                <c:pt idx="3">
                  <c:v>0.98340402910000002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C5-4FDF-9260-826BD2637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753752"/>
        <c:axId val="91047525"/>
      </c:lineChart>
      <c:catAx>
        <c:axId val="38753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u="none" strike="noStrike" baseline="0">
                    <a:effectLst/>
                  </a:rPr>
                  <a:t>Pressão (bar)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78870091767120221"/>
              <c:y val="0.7174413518222116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91047525"/>
        <c:crosses val="autoZero"/>
        <c:auto val="1"/>
        <c:lblAlgn val="ctr"/>
        <c:lblOffset val="100"/>
        <c:noMultiLvlLbl val="0"/>
      </c:catAx>
      <c:valAx>
        <c:axId val="91047525"/>
        <c:scaling>
          <c:orientation val="minMax"/>
          <c:min val="0.95499999999999996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38753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200" b="1" u="none" strike="noStrike" spc="150">
                <a:solidFill>
                  <a:schemeClr val="tx1">
                    <a:lumMod val="50000"/>
                    <a:lumOff val="50000"/>
                  </a:schemeClr>
                </a:solidFill>
                <a:uFillTx/>
                <a:latin typeface="Arial"/>
                <a:ea typeface="DejaVu Sans"/>
              </a:rPr>
              <a:t>Gasolina (C₅–C₁₁, mol/s)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'H2_CO_583K _25kg'!$B$56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38160">
              <a:solidFill>
                <a:srgbClr val="18A3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_25kg'!$C$56:$F$56</c:f>
              <c:numCache>
                <c:formatCode>0.0000000000</c:formatCode>
                <c:ptCount val="4"/>
                <c:pt idx="0">
                  <c:v>0.12222040199999999</c:v>
                </c:pt>
                <c:pt idx="1">
                  <c:v>0.126435193</c:v>
                </c:pt>
                <c:pt idx="2">
                  <c:v>0.12812581200000001</c:v>
                </c:pt>
                <c:pt idx="3">
                  <c:v>0.12616232399999999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6-4832-B4AD-77579B24584B}"/>
            </c:ext>
          </c:extLst>
        </c:ser>
        <c:ser>
          <c:idx val="1"/>
          <c:order val="1"/>
          <c:tx>
            <c:strRef>
              <c:f>'H2_CO_583K _25kg'!$B$57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73080">
              <a:solidFill>
                <a:srgbClr val="0369A3"/>
              </a:solidFill>
              <a:round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856-4832-B4AD-77579B24584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856-4832-B4AD-77579B24584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856-4832-B4AD-77579B24584B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56-4832-B4AD-77579B24584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56-4832-B4AD-77579B24584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56-4832-B4AD-77579B2458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73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_25kg'!$C$57:$F$57</c:f>
              <c:numCache>
                <c:formatCode>0.0000000000</c:formatCode>
                <c:ptCount val="4"/>
                <c:pt idx="0">
                  <c:v>0.11743813399999999</c:v>
                </c:pt>
                <c:pt idx="1">
                  <c:v>0.10762303100000001</c:v>
                </c:pt>
                <c:pt idx="2">
                  <c:v>9.9134687900000018E-2</c:v>
                </c:pt>
                <c:pt idx="3">
                  <c:v>9.1735187800000006E-2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6-4832-B4AD-77579B24584B}"/>
            </c:ext>
          </c:extLst>
        </c:ser>
        <c:ser>
          <c:idx val="2"/>
          <c:order val="2"/>
          <c:tx>
            <c:strRef>
              <c:f>'H2_CO_583K _25kg'!$B$58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38160">
              <a:solidFill>
                <a:srgbClr val="A33E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_25kg'!$C$58:$F$58</c:f>
              <c:numCache>
                <c:formatCode>0.0000000000</c:formatCode>
                <c:ptCount val="4"/>
                <c:pt idx="0">
                  <c:v>0.13231963099999999</c:v>
                </c:pt>
                <c:pt idx="1">
                  <c:v>0.136986093</c:v>
                </c:pt>
                <c:pt idx="2">
                  <c:v>0.13870779599999999</c:v>
                </c:pt>
                <c:pt idx="3">
                  <c:v>0.13632218100000001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6-4832-B4AD-77579B24584B}"/>
            </c:ext>
          </c:extLst>
        </c:ser>
        <c:ser>
          <c:idx val="3"/>
          <c:order val="3"/>
          <c:tx>
            <c:strRef>
              <c:f>'H2_CO_583K _25kg'!$B$59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38160">
              <a:solidFill>
                <a:srgbClr val="8E03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_25kg'!$C$55:$F$55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_25kg'!$C$59:$F$59</c:f>
              <c:numCache>
                <c:formatCode>0.0000000000</c:formatCode>
                <c:ptCount val="4"/>
                <c:pt idx="0">
                  <c:v>0.126927336</c:v>
                </c:pt>
                <c:pt idx="1">
                  <c:v>0.116525328</c:v>
                </c:pt>
                <c:pt idx="2">
                  <c:v>0.107496019</c:v>
                </c:pt>
                <c:pt idx="3">
                  <c:v>9.9602390600000007E-2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6-4832-B4AD-77579B245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843270"/>
        <c:axId val="26537250"/>
      </c:lineChart>
      <c:catAx>
        <c:axId val="9584327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>
                  <a:alpha val="32000"/>
                </a:srgb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Pressão ( bar)</a:t>
                </a:r>
              </a:p>
            </c:rich>
          </c:tx>
          <c:layout>
            <c:manualLayout>
              <c:xMode val="edge"/>
              <c:yMode val="edge"/>
              <c:x val="0.77094967912240597"/>
              <c:y val="0.7729361448438389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324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26537250"/>
        <c:crosses val="autoZero"/>
        <c:auto val="1"/>
        <c:lblAlgn val="ctr"/>
        <c:lblOffset val="100"/>
        <c:noMultiLvlLbl val="0"/>
      </c:catAx>
      <c:valAx>
        <c:axId val="26537250"/>
        <c:scaling>
          <c:orientation val="minMax"/>
          <c:max val="0.14000000000000001"/>
          <c:min val="0.08"/>
        </c:scaling>
        <c:delete val="0"/>
        <c:axPos val="l"/>
        <c:majorGridlines>
          <c:spPr>
            <a:ln w="9360">
              <a:solidFill>
                <a:srgbClr val="D9D9D9">
                  <a:alpha val="32000"/>
                </a:srgbClr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3240">
            <a:solidFill>
              <a:srgbClr val="A33E03"/>
            </a:solidFill>
            <a:prstDash val="sysDash"/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958432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Eficiência de carbono para gasolina (%)</a:t>
            </a:r>
          </a:p>
        </c:rich>
      </c:tx>
      <c:layout>
        <c:manualLayout>
          <c:xMode val="edge"/>
          <c:yMode val="edge"/>
          <c:x val="0.11200059671705004"/>
          <c:y val="2.813904528872248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'H2_CO_583K _25kg'!$B$75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_25kg'!$C$75:$F$75</c:f>
              <c:numCache>
                <c:formatCode>0.00%</c:formatCode>
                <c:ptCount val="4"/>
                <c:pt idx="0">
                  <c:v>0.21961055424000001</c:v>
                </c:pt>
                <c:pt idx="1">
                  <c:v>0.24644905974000003</c:v>
                </c:pt>
                <c:pt idx="2">
                  <c:v>0.26940835823999998</c:v>
                </c:pt>
                <c:pt idx="3">
                  <c:v>0.28481311709999996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E-4E93-AE4C-61B8C397016C}"/>
            </c:ext>
          </c:extLst>
        </c:ser>
        <c:ser>
          <c:idx val="1"/>
          <c:order val="1"/>
          <c:tx>
            <c:strRef>
              <c:f>'H2_CO_583K _25kg'!$B$76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_25kg'!$C$76:$F$76</c:f>
              <c:numCache>
                <c:formatCode>0.00%</c:formatCode>
                <c:ptCount val="4"/>
                <c:pt idx="0">
                  <c:v>0.28331639871999997</c:v>
                </c:pt>
                <c:pt idx="1">
                  <c:v>0.27623816493999998</c:v>
                </c:pt>
                <c:pt idx="2">
                  <c:v>0.26974477256399998</c:v>
                </c:pt>
                <c:pt idx="3">
                  <c:v>0.26376626188400004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E-4E93-AE4C-61B8C397016C}"/>
            </c:ext>
          </c:extLst>
        </c:ser>
        <c:ser>
          <c:idx val="2"/>
          <c:order val="2"/>
          <c:tx>
            <c:strRef>
              <c:f>'H2_CO_583K _25kg'!$B$77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_25kg'!$C$77:$F$77</c:f>
              <c:numCache>
                <c:formatCode>0.00%</c:formatCode>
                <c:ptCount val="4"/>
                <c:pt idx="0">
                  <c:v>0.23659087031999995</c:v>
                </c:pt>
                <c:pt idx="1">
                  <c:v>0.26573413464000001</c:v>
                </c:pt>
                <c:pt idx="2">
                  <c:v>0.29030002904000002</c:v>
                </c:pt>
                <c:pt idx="3">
                  <c:v>0.30635781360000003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E-4E93-AE4C-61B8C397016C}"/>
            </c:ext>
          </c:extLst>
        </c:ser>
        <c:ser>
          <c:idx val="3"/>
          <c:order val="3"/>
          <c:tx>
            <c:strRef>
              <c:f>'H2_CO_583K _25kg'!$B$78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_25kg'!$C$74:$F$74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_25kg'!$C$78:$F$78</c:f>
              <c:numCache>
                <c:formatCode>0.00%</c:formatCode>
                <c:ptCount val="4"/>
                <c:pt idx="0">
                  <c:v>0.30485301088</c:v>
                </c:pt>
                <c:pt idx="1">
                  <c:v>0.29778884359999996</c:v>
                </c:pt>
                <c:pt idx="2">
                  <c:v>0.29124800567999998</c:v>
                </c:pt>
                <c:pt idx="3">
                  <c:v>0.28518515446800002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AE-4E93-AE4C-61B8C3970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5542048"/>
        <c:axId val="71191660"/>
      </c:lineChart>
      <c:catAx>
        <c:axId val="9554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baseline="0">
                    <a:effectLst/>
                  </a:rPr>
                  <a:t>Pressão ( bar)</a:t>
                </a:r>
                <a:endParaRPr lang="pt-BR" sz="1000" baseline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77372765072628646"/>
              <c:y val="0.709703280783727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71191660"/>
        <c:crosses val="autoZero"/>
        <c:auto val="1"/>
        <c:lblAlgn val="ctr"/>
        <c:lblOffset val="100"/>
        <c:noMultiLvlLbl val="0"/>
      </c:catAx>
      <c:valAx>
        <c:axId val="71191660"/>
        <c:scaling>
          <c:orientation val="minMax"/>
          <c:min val="0.17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955420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C₁₆/Gasolina (sobrecrescimento)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'H2_CO_583K _25kg'!$B$96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_25kg'!$C$96:$F$96</c:f>
              <c:numCache>
                <c:formatCode>0.0000000000</c:formatCode>
                <c:ptCount val="4"/>
                <c:pt idx="0">
                  <c:v>1.0066437189430943</c:v>
                </c:pt>
                <c:pt idx="1">
                  <c:v>1.0354912022003242</c:v>
                </c:pt>
                <c:pt idx="2">
                  <c:v>1.07419619709415</c:v>
                </c:pt>
                <c:pt idx="3">
                  <c:v>1.1288692652808141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D-4E36-AB16-21D931DD2D4E}"/>
            </c:ext>
          </c:extLst>
        </c:ser>
        <c:ser>
          <c:idx val="1"/>
          <c:order val="1"/>
          <c:tx>
            <c:strRef>
              <c:f>'H2_CO_583K _25kg'!$B$97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_25kg'!$C$97:$F$97</c:f>
              <c:numCache>
                <c:formatCode>0.0000000000</c:formatCode>
                <c:ptCount val="4"/>
                <c:pt idx="0">
                  <c:v>1.190072723737249</c:v>
                </c:pt>
                <c:pt idx="1">
                  <c:v>1.2348095827184054</c:v>
                </c:pt>
                <c:pt idx="2">
                  <c:v>1.2777547666037488</c:v>
                </c:pt>
                <c:pt idx="3">
                  <c:v>1.3190875050456918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D-4E36-AB16-21D931DD2D4E}"/>
            </c:ext>
          </c:extLst>
        </c:ser>
        <c:ser>
          <c:idx val="2"/>
          <c:order val="2"/>
          <c:tx>
            <c:strRef>
              <c:f>'H2_CO_583K _25kg'!$B$98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_25kg'!$C$98:$F$98</c:f>
              <c:numCache>
                <c:formatCode>0.0000000000</c:formatCode>
                <c:ptCount val="4"/>
                <c:pt idx="0">
                  <c:v>0.90668504055909893</c:v>
                </c:pt>
                <c:pt idx="1">
                  <c:v>0.93198533664289551</c:v>
                </c:pt>
                <c:pt idx="2">
                  <c:v>0.96616415129254896</c:v>
                </c:pt>
                <c:pt idx="3">
                  <c:v>1.0140486235325121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D-4E36-AB16-21D931DD2D4E}"/>
            </c:ext>
          </c:extLst>
        </c:ser>
        <c:ser>
          <c:idx val="3"/>
          <c:order val="3"/>
          <c:tx>
            <c:strRef>
              <c:f>'H2_CO_583K _25kg'!$B$99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_25kg'!$C$95:$F$95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_25kg'!$C$99:$F$99</c:f>
              <c:numCache>
                <c:formatCode>0.0000000000</c:formatCode>
                <c:ptCount val="4"/>
                <c:pt idx="0">
                  <c:v>1.0665719006345489</c:v>
                </c:pt>
                <c:pt idx="1">
                  <c:v>1.1054314303238864</c:v>
                </c:pt>
                <c:pt idx="2">
                  <c:v>1.1428132980440886</c:v>
                </c:pt>
                <c:pt idx="3">
                  <c:v>1.1788552392436251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D-4E36-AB16-21D931DD2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530748"/>
        <c:axId val="75765676"/>
      </c:lineChart>
      <c:catAx>
        <c:axId val="35530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Pressão (bar)</a:t>
                </a:r>
              </a:p>
            </c:rich>
          </c:tx>
          <c:layout>
            <c:manualLayout>
              <c:xMode val="edge"/>
              <c:yMode val="edge"/>
              <c:x val="0.7901389007675732"/>
              <c:y val="0.7180392701564964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75765676"/>
        <c:crosses val="autoZero"/>
        <c:auto val="1"/>
        <c:lblAlgn val="ctr"/>
        <c:lblOffset val="100"/>
        <c:noMultiLvlLbl val="0"/>
      </c:catAx>
      <c:valAx>
        <c:axId val="75765676"/>
        <c:scaling>
          <c:orientation val="minMax"/>
          <c:min val="0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355307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rial"/>
                <a:ea typeface="DejaVu Sans"/>
              </a:rPr>
              <a:t>Conversão de CO (%)</a:t>
            </a:r>
          </a:p>
        </c:rich>
      </c:tx>
      <c:layout>
        <c:manualLayout>
          <c:xMode val="edge"/>
          <c:yMode val="edge"/>
          <c:x val="0.34236048940614699"/>
          <c:y val="1.85481718708300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'H2_CO_583K _25kg'!$B$116</c:f>
              <c:strCache>
                <c:ptCount val="1"/>
                <c:pt idx="0">
                  <c:v>T=543 K (25 kg)</c:v>
                </c:pt>
              </c:strCache>
            </c:strRef>
          </c:tx>
          <c:spPr>
            <a:ln w="28440" cap="rnd">
              <a:solidFill>
                <a:srgbClr val="18A303"/>
              </a:solidFill>
              <a:round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_25kg'!$C$116:$F$116</c:f>
              <c:numCache>
                <c:formatCode>0.00%</c:formatCode>
                <c:ptCount val="4"/>
                <c:pt idx="0">
                  <c:v>0.70902551200000008</c:v>
                </c:pt>
                <c:pt idx="1">
                  <c:v>0.80572312499999998</c:v>
                </c:pt>
                <c:pt idx="2">
                  <c:v>0.89629856159999999</c:v>
                </c:pt>
                <c:pt idx="3">
                  <c:v>0.97266257410000001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3-4ACA-BE66-6AF08423BC2C}"/>
            </c:ext>
          </c:extLst>
        </c:ser>
        <c:ser>
          <c:idx val="1"/>
          <c:order val="1"/>
          <c:tx>
            <c:strRef>
              <c:f>'H2_CO_583K _25kg'!$B$117</c:f>
              <c:strCache>
                <c:ptCount val="1"/>
                <c:pt idx="0">
                  <c:v>T=543 K (35 kg)</c:v>
                </c:pt>
              </c:strCache>
            </c:strRef>
          </c:tx>
          <c:spPr>
            <a:ln w="28440" cap="rnd">
              <a:solidFill>
                <a:srgbClr val="0369A3"/>
              </a:solidFill>
              <a:round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_25kg'!$C$117:$F$117</c:f>
              <c:numCache>
                <c:formatCode>0.00%</c:formatCode>
                <c:ptCount val="4"/>
                <c:pt idx="0">
                  <c:v>0.99999999360559255</c:v>
                </c:pt>
                <c:pt idx="1">
                  <c:v>0.99999999311208376</c:v>
                </c:pt>
                <c:pt idx="2">
                  <c:v>0.99999999391029626</c:v>
                </c:pt>
                <c:pt idx="3">
                  <c:v>0.9999999948119751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3-4ACA-BE66-6AF08423BC2C}"/>
            </c:ext>
          </c:extLst>
        </c:ser>
        <c:ser>
          <c:idx val="2"/>
          <c:order val="2"/>
          <c:tx>
            <c:strRef>
              <c:f>'H2_CO_583K _25kg'!$B$118</c:f>
              <c:strCache>
                <c:ptCount val="1"/>
                <c:pt idx="0">
                  <c:v>T=583 K (25 kg)</c:v>
                </c:pt>
              </c:strCache>
            </c:strRef>
          </c:tx>
          <c:spPr>
            <a:ln w="28440" cap="rnd">
              <a:solidFill>
                <a:srgbClr val="A33E03"/>
              </a:solidFill>
              <a:round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_25kg'!$C$118:$F$118</c:f>
              <c:numCache>
                <c:formatCode>0.00%</c:formatCode>
                <c:ptCount val="4"/>
                <c:pt idx="0">
                  <c:v>0.72633196000000011</c:v>
                </c:pt>
                <c:pt idx="1">
                  <c:v>0.82173593480000007</c:v>
                </c:pt>
                <c:pt idx="2">
                  <c:v>0.90805440920000002</c:v>
                </c:pt>
                <c:pt idx="3">
                  <c:v>0.97699311700000002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3-4ACA-BE66-6AF08423BC2C}"/>
            </c:ext>
          </c:extLst>
        </c:ser>
        <c:ser>
          <c:idx val="3"/>
          <c:order val="3"/>
          <c:tx>
            <c:strRef>
              <c:f>'H2_CO_583K _25kg'!$B$119</c:f>
              <c:strCache>
                <c:ptCount val="1"/>
                <c:pt idx="0">
                  <c:v>T=583 K (35 kg)</c:v>
                </c:pt>
              </c:strCache>
            </c:strRef>
          </c:tx>
          <c:spPr>
            <a:ln w="28440" cap="rnd">
              <a:solidFill>
                <a:srgbClr val="8E03A3"/>
              </a:solidFill>
              <a:round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'H2_CO_583K _25kg'!$C$115:$F$115</c:f>
              <c:numCache>
                <c:formatCode>General</c:formatCode>
                <c:ptCount val="4"/>
                <c:pt idx="0">
                  <c:v>1.0129999999999999</c:v>
                </c:pt>
                <c:pt idx="1">
                  <c:v>2.0259999999999998</c:v>
                </c:pt>
                <c:pt idx="2">
                  <c:v>3.0390000000000001</c:v>
                </c:pt>
                <c:pt idx="3">
                  <c:v>4.0529999999999999</c:v>
                </c:pt>
              </c:numCache>
            </c:numRef>
          </c:cat>
          <c:val>
            <c:numRef>
              <c:f>'H2_CO_583K _25kg'!$C$119:$F$119</c:f>
              <c:numCache>
                <c:formatCode>0.00%</c:formatCode>
                <c:ptCount val="4"/>
                <c:pt idx="0">
                  <c:v>0.99999998071587304</c:v>
                </c:pt>
                <c:pt idx="1">
                  <c:v>0.99999997965577836</c:v>
                </c:pt>
                <c:pt idx="2">
                  <c:v>0.99999998228264853</c:v>
                </c:pt>
                <c:pt idx="3">
                  <c:v>0.99999998510475618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03-4ACA-BE66-6AF08423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787986"/>
        <c:axId val="24386793"/>
      </c:lineChart>
      <c:catAx>
        <c:axId val="49787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Pressão (bar)</a:t>
                </a:r>
              </a:p>
            </c:rich>
          </c:tx>
          <c:layout>
            <c:manualLayout>
              <c:xMode val="edge"/>
              <c:yMode val="edge"/>
              <c:x val="0.76202539066045949"/>
              <c:y val="0.76000729772681297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24386793"/>
        <c:crosses val="autoZero"/>
        <c:auto val="1"/>
        <c:lblAlgn val="ctr"/>
        <c:lblOffset val="100"/>
        <c:noMultiLvlLbl val="0"/>
      </c:catAx>
      <c:valAx>
        <c:axId val="24386793"/>
        <c:scaling>
          <c:orientation val="minMax"/>
          <c:min val="0.69000000000000017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497879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577440</xdr:colOff>
      <xdr:row>46</xdr:row>
      <xdr:rowOff>45360</xdr:rowOff>
    </xdr:from>
    <xdr:to>
      <xdr:col>15</xdr:col>
      <xdr:colOff>479547</xdr:colOff>
      <xdr:row>67</xdr:row>
      <xdr:rowOff>7200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379800</xdr:colOff>
      <xdr:row>68</xdr:row>
      <xdr:rowOff>126720</xdr:rowOff>
    </xdr:from>
    <xdr:to>
      <xdr:col>15</xdr:col>
      <xdr:colOff>281907</xdr:colOff>
      <xdr:row>85</xdr:row>
      <xdr:rowOff>73440</xdr:rowOff>
    </xdr:to>
    <xdr:graphicFrame macro="">
      <xdr:nvGraphicFramePr>
        <xdr:cNvPr id="3" name="Gráfico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194040</xdr:colOff>
      <xdr:row>89</xdr:row>
      <xdr:rowOff>22320</xdr:rowOff>
    </xdr:from>
    <xdr:to>
      <xdr:col>15</xdr:col>
      <xdr:colOff>96147</xdr:colOff>
      <xdr:row>106</xdr:row>
      <xdr:rowOff>4680</xdr:rowOff>
    </xdr:to>
    <xdr:graphicFrame macro="">
      <xdr:nvGraphicFramePr>
        <xdr:cNvPr id="4" name="Gráfico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54720</xdr:colOff>
      <xdr:row>108</xdr:row>
      <xdr:rowOff>160560</xdr:rowOff>
    </xdr:from>
    <xdr:to>
      <xdr:col>14</xdr:col>
      <xdr:colOff>909327</xdr:colOff>
      <xdr:row>125</xdr:row>
      <xdr:rowOff>143280</xdr:rowOff>
    </xdr:to>
    <xdr:graphicFrame macro="">
      <xdr:nvGraphicFramePr>
        <xdr:cNvPr id="5" name="Gráfico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577440</xdr:colOff>
      <xdr:row>46</xdr:row>
      <xdr:rowOff>45360</xdr:rowOff>
    </xdr:from>
    <xdr:to>
      <xdr:col>16</xdr:col>
      <xdr:colOff>398237</xdr:colOff>
      <xdr:row>66</xdr:row>
      <xdr:rowOff>150480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379800</xdr:colOff>
      <xdr:row>68</xdr:row>
      <xdr:rowOff>126720</xdr:rowOff>
    </xdr:from>
    <xdr:to>
      <xdr:col>16</xdr:col>
      <xdr:colOff>200597</xdr:colOff>
      <xdr:row>85</xdr:row>
      <xdr:rowOff>35280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194040</xdr:colOff>
      <xdr:row>89</xdr:row>
      <xdr:rowOff>22320</xdr:rowOff>
    </xdr:from>
    <xdr:to>
      <xdr:col>16</xdr:col>
      <xdr:colOff>14837</xdr:colOff>
      <xdr:row>105</xdr:row>
      <xdr:rowOff>128520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54720</xdr:colOff>
      <xdr:row>108</xdr:row>
      <xdr:rowOff>160560</xdr:rowOff>
    </xdr:from>
    <xdr:to>
      <xdr:col>15</xdr:col>
      <xdr:colOff>758322</xdr:colOff>
      <xdr:row>128</xdr:row>
      <xdr:rowOff>151006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70" zoomScaleNormal="70" workbookViewId="0">
      <selection activeCell="B62" sqref="B62"/>
    </sheetView>
  </sheetViews>
  <sheetFormatPr defaultColWidth="11.54296875" defaultRowHeight="12.5"/>
  <cols>
    <col min="1" max="1" width="3.81640625" customWidth="1"/>
    <col min="2" max="2" width="24.453125" customWidth="1"/>
    <col min="3" max="3" width="17.7265625" customWidth="1"/>
    <col min="8" max="8" width="5.81640625" customWidth="1"/>
  </cols>
  <sheetData>
    <row r="1" spans="2:23" ht="13">
      <c r="B1" s="1"/>
    </row>
    <row r="2" spans="2:23" ht="13">
      <c r="B2" s="1" t="s">
        <v>0</v>
      </c>
    </row>
    <row r="3" spans="2:23" ht="13">
      <c r="B3" t="s">
        <v>1</v>
      </c>
      <c r="D3" s="2">
        <v>503</v>
      </c>
      <c r="E3" s="2">
        <v>503</v>
      </c>
      <c r="F3" s="2">
        <v>503</v>
      </c>
      <c r="G3" s="2">
        <v>503</v>
      </c>
      <c r="I3" s="3">
        <v>503</v>
      </c>
      <c r="J3" s="3">
        <v>523</v>
      </c>
      <c r="K3" s="3">
        <v>543</v>
      </c>
      <c r="M3" s="2">
        <v>543</v>
      </c>
      <c r="N3" s="2">
        <v>543</v>
      </c>
      <c r="O3" s="2">
        <v>543</v>
      </c>
      <c r="Q3" s="2">
        <v>523</v>
      </c>
      <c r="R3" s="2">
        <v>523</v>
      </c>
      <c r="S3" s="2">
        <v>523</v>
      </c>
      <c r="U3" s="2">
        <v>523</v>
      </c>
      <c r="V3" s="2">
        <v>523</v>
      </c>
      <c r="W3" s="2">
        <v>523</v>
      </c>
    </row>
    <row r="4" spans="2:23" ht="13">
      <c r="B4" t="s">
        <v>2</v>
      </c>
      <c r="D4">
        <v>20</v>
      </c>
      <c r="E4">
        <v>20</v>
      </c>
      <c r="F4">
        <v>20</v>
      </c>
      <c r="G4">
        <v>20</v>
      </c>
      <c r="I4">
        <v>20</v>
      </c>
      <c r="J4">
        <v>20</v>
      </c>
      <c r="K4">
        <v>20</v>
      </c>
      <c r="M4">
        <v>20</v>
      </c>
      <c r="N4">
        <v>20</v>
      </c>
      <c r="O4">
        <v>20</v>
      </c>
      <c r="Q4" s="4">
        <v>10</v>
      </c>
      <c r="R4" s="4">
        <v>20</v>
      </c>
      <c r="S4" s="4">
        <v>30</v>
      </c>
      <c r="U4" s="4">
        <v>10</v>
      </c>
      <c r="V4" s="4">
        <v>20</v>
      </c>
      <c r="W4" s="4">
        <v>30</v>
      </c>
    </row>
    <row r="5" spans="2:23">
      <c r="B5" t="s">
        <v>3</v>
      </c>
      <c r="C5" s="5"/>
      <c r="D5">
        <v>10</v>
      </c>
      <c r="E5">
        <v>10</v>
      </c>
      <c r="F5">
        <v>10</v>
      </c>
      <c r="G5">
        <v>10</v>
      </c>
      <c r="I5">
        <v>10</v>
      </c>
      <c r="J5">
        <v>10</v>
      </c>
      <c r="K5">
        <v>10</v>
      </c>
      <c r="M5">
        <v>10</v>
      </c>
      <c r="N5">
        <v>10</v>
      </c>
      <c r="O5">
        <v>10</v>
      </c>
      <c r="Q5">
        <v>10</v>
      </c>
      <c r="R5">
        <v>10</v>
      </c>
      <c r="S5">
        <v>10</v>
      </c>
      <c r="U5">
        <v>10</v>
      </c>
      <c r="V5">
        <v>10</v>
      </c>
      <c r="W5">
        <v>10</v>
      </c>
    </row>
    <row r="6" spans="2:23">
      <c r="B6" t="s">
        <v>4</v>
      </c>
      <c r="D6">
        <v>8.9387299999999996</v>
      </c>
      <c r="E6">
        <v>8.2386599999999994</v>
      </c>
      <c r="F6">
        <v>7.5476099999999997</v>
      </c>
      <c r="G6">
        <v>6.5378400000000001</v>
      </c>
      <c r="I6">
        <v>7.5476099999999997</v>
      </c>
      <c r="J6">
        <v>7.5476099999999997</v>
      </c>
      <c r="K6">
        <v>3.5825999999999998</v>
      </c>
      <c r="M6">
        <v>3.5825999999999998</v>
      </c>
      <c r="N6">
        <v>3.7559800000000001</v>
      </c>
      <c r="Q6">
        <v>4.6162299999999998</v>
      </c>
    </row>
    <row r="8" spans="2:23" ht="15.5">
      <c r="B8" t="s">
        <v>5</v>
      </c>
      <c r="C8" s="5"/>
      <c r="D8">
        <v>2</v>
      </c>
      <c r="E8">
        <v>2</v>
      </c>
      <c r="F8">
        <v>2</v>
      </c>
      <c r="G8">
        <v>2</v>
      </c>
      <c r="I8">
        <v>2</v>
      </c>
      <c r="J8">
        <v>2</v>
      </c>
      <c r="K8">
        <v>2</v>
      </c>
      <c r="M8" s="4">
        <v>2</v>
      </c>
      <c r="N8" s="4">
        <v>2.2000000000000002</v>
      </c>
      <c r="O8" s="4">
        <v>2.5</v>
      </c>
      <c r="Q8" s="6">
        <v>2</v>
      </c>
      <c r="R8" s="6">
        <v>2</v>
      </c>
      <c r="S8" s="6">
        <v>2</v>
      </c>
      <c r="U8" s="6">
        <v>2.2000000000000002</v>
      </c>
      <c r="V8" s="6">
        <v>2.2000000000000002</v>
      </c>
      <c r="W8" s="6">
        <v>2.2000000000000002</v>
      </c>
    </row>
    <row r="9" spans="2:23" ht="15.5">
      <c r="B9" t="s">
        <v>6</v>
      </c>
      <c r="D9">
        <f>D8/(1+D8)</f>
        <v>0.66666666666666663</v>
      </c>
      <c r="E9">
        <f>E8/(1+E8)</f>
        <v>0.66666666666666663</v>
      </c>
      <c r="F9">
        <f>F8/(1+F8)</f>
        <v>0.66666666666666663</v>
      </c>
      <c r="G9">
        <f>G8/(1+G8)</f>
        <v>0.66666666666666663</v>
      </c>
      <c r="I9">
        <f>I8/(1+I8)</f>
        <v>0.66666666666666663</v>
      </c>
      <c r="J9">
        <f>J8/(1+J8)</f>
        <v>0.66666666666666663</v>
      </c>
      <c r="K9">
        <f>K8/(1+K8)</f>
        <v>0.66666666666666663</v>
      </c>
      <c r="M9">
        <f>M8/(1+M8)</f>
        <v>0.66666666666666663</v>
      </c>
      <c r="N9">
        <f>N8/(1+N8)</f>
        <v>0.6875</v>
      </c>
      <c r="O9">
        <f>O8/(1+O8)</f>
        <v>0.7142857142857143</v>
      </c>
      <c r="Q9">
        <f>Q8/(1+Q8)</f>
        <v>0.66666666666666663</v>
      </c>
      <c r="R9">
        <f>R8/(1+R8)</f>
        <v>0.66666666666666663</v>
      </c>
      <c r="S9">
        <f>S8/(1+S8)</f>
        <v>0.66666666666666663</v>
      </c>
      <c r="U9">
        <f>U8/(1+U8)</f>
        <v>0.6875</v>
      </c>
      <c r="V9">
        <f>V8/(1+V8)</f>
        <v>0.6875</v>
      </c>
      <c r="W9">
        <f>W8/(1+W8)</f>
        <v>0.6875</v>
      </c>
    </row>
    <row r="10" spans="2:23">
      <c r="B10" t="s">
        <v>7</v>
      </c>
      <c r="D10">
        <f>1/(1+D8)</f>
        <v>0.33333333333333331</v>
      </c>
      <c r="E10">
        <f>1/(1+E8)</f>
        <v>0.33333333333333331</v>
      </c>
      <c r="F10">
        <f>1/(1+F8)</f>
        <v>0.33333333333333331</v>
      </c>
      <c r="G10">
        <f>1/(1+G8)</f>
        <v>0.33333333333333331</v>
      </c>
      <c r="I10">
        <f>1/(1+I8)</f>
        <v>0.33333333333333331</v>
      </c>
      <c r="J10">
        <f>1/(1+J8)</f>
        <v>0.33333333333333331</v>
      </c>
      <c r="K10">
        <f>1/(1+K8)</f>
        <v>0.33333333333333331</v>
      </c>
      <c r="M10">
        <f>1/(1+M8)</f>
        <v>0.33333333333333331</v>
      </c>
      <c r="N10">
        <f>1/(1+N8)</f>
        <v>0.3125</v>
      </c>
      <c r="O10">
        <f>1/(1+O8)</f>
        <v>0.2857142857142857</v>
      </c>
      <c r="Q10">
        <f>1/(1+Q8)</f>
        <v>0.33333333333333331</v>
      </c>
      <c r="R10">
        <f>1/(1+R8)</f>
        <v>0.33333333333333331</v>
      </c>
      <c r="S10">
        <f>1/(1+S8)</f>
        <v>0.33333333333333331</v>
      </c>
      <c r="U10">
        <f>1/(1+U8)</f>
        <v>0.3125</v>
      </c>
      <c r="V10">
        <f>1/(1+V8)</f>
        <v>0.3125</v>
      </c>
      <c r="W10">
        <f>1/(1+W8)</f>
        <v>0.3125</v>
      </c>
    </row>
    <row r="11" spans="2:23" ht="15.5">
      <c r="B11" t="s">
        <v>8</v>
      </c>
      <c r="D11">
        <f>D5*D10</f>
        <v>3.333333333333333</v>
      </c>
      <c r="E11">
        <f>E5*E10</f>
        <v>3.333333333333333</v>
      </c>
      <c r="F11">
        <f>F5*F10</f>
        <v>3.333333333333333</v>
      </c>
      <c r="G11">
        <f>G5*G10</f>
        <v>3.333333333333333</v>
      </c>
      <c r="I11">
        <f>I5*I10</f>
        <v>3.333333333333333</v>
      </c>
      <c r="J11">
        <f>J5*J10</f>
        <v>3.333333333333333</v>
      </c>
      <c r="K11">
        <f>K5*K10</f>
        <v>3.333333333333333</v>
      </c>
      <c r="M11">
        <f>M5*M10</f>
        <v>3.333333333333333</v>
      </c>
      <c r="N11">
        <f>N5*N10</f>
        <v>3.125</v>
      </c>
      <c r="O11">
        <f>O5*O10</f>
        <v>2.8571428571428568</v>
      </c>
      <c r="Q11">
        <f>Q5*Q10</f>
        <v>3.333333333333333</v>
      </c>
      <c r="R11">
        <f>R5*R10</f>
        <v>3.333333333333333</v>
      </c>
      <c r="S11">
        <f>S5*S10</f>
        <v>3.333333333333333</v>
      </c>
      <c r="U11">
        <f>U5*U10</f>
        <v>3.125</v>
      </c>
      <c r="V11">
        <f>V5*V10</f>
        <v>3.125</v>
      </c>
      <c r="W11">
        <f>W5*W10</f>
        <v>3.125</v>
      </c>
    </row>
    <row r="12" spans="2:23" ht="13">
      <c r="G12" s="7"/>
    </row>
    <row r="13" spans="2:23" ht="13">
      <c r="B13" t="s">
        <v>9</v>
      </c>
      <c r="D13" s="8" t="s">
        <v>10</v>
      </c>
      <c r="E13" s="8" t="s">
        <v>11</v>
      </c>
      <c r="F13" s="9" t="s">
        <v>12</v>
      </c>
      <c r="G13" s="8" t="s">
        <v>13</v>
      </c>
      <c r="I13" s="10" t="s">
        <v>12</v>
      </c>
      <c r="J13" s="11" t="s">
        <v>12</v>
      </c>
      <c r="K13" s="10" t="s">
        <v>12</v>
      </c>
      <c r="M13" s="10" t="s">
        <v>12</v>
      </c>
      <c r="N13" s="10" t="s">
        <v>12</v>
      </c>
      <c r="O13" s="10" t="s">
        <v>12</v>
      </c>
      <c r="Q13" s="10" t="s">
        <v>12</v>
      </c>
      <c r="R13" s="10" t="s">
        <v>12</v>
      </c>
      <c r="S13" s="10" t="s">
        <v>12</v>
      </c>
      <c r="U13" s="10" t="s">
        <v>12</v>
      </c>
      <c r="V13" s="10" t="s">
        <v>12</v>
      </c>
      <c r="W13" s="10" t="s">
        <v>12</v>
      </c>
    </row>
    <row r="14" spans="2:23">
      <c r="D14" s="2" t="s">
        <v>14</v>
      </c>
      <c r="E14" s="2" t="s">
        <v>14</v>
      </c>
      <c r="F14" s="2" t="s">
        <v>14</v>
      </c>
      <c r="G14" s="2" t="s">
        <v>14</v>
      </c>
      <c r="I14" s="2" t="s">
        <v>14</v>
      </c>
      <c r="J14" s="2" t="s">
        <v>14</v>
      </c>
      <c r="K14" s="2" t="s">
        <v>14</v>
      </c>
      <c r="M14" s="2" t="s">
        <v>14</v>
      </c>
      <c r="N14" s="2" t="s">
        <v>14</v>
      </c>
      <c r="O14" s="2" t="s">
        <v>14</v>
      </c>
      <c r="Q14" s="2" t="s">
        <v>14</v>
      </c>
      <c r="R14" s="2" t="s">
        <v>14</v>
      </c>
      <c r="S14" s="2" t="s">
        <v>14</v>
      </c>
      <c r="U14" s="2" t="s">
        <v>14</v>
      </c>
      <c r="V14" s="2" t="s">
        <v>14</v>
      </c>
      <c r="W14" s="2" t="s">
        <v>14</v>
      </c>
    </row>
    <row r="15" spans="2:23" ht="15.5">
      <c r="B15" t="s">
        <v>15</v>
      </c>
      <c r="D15" s="7">
        <v>2.8024817</v>
      </c>
      <c r="E15" s="7">
        <v>2.4520485999999999</v>
      </c>
      <c r="F15" s="7">
        <v>2.1059185999999999</v>
      </c>
      <c r="G15" s="7">
        <v>1.5997318</v>
      </c>
      <c r="I15" s="7">
        <v>2.1059185999999999</v>
      </c>
      <c r="J15" s="7">
        <v>0.67066095000000003</v>
      </c>
      <c r="K15" s="7">
        <v>0.11742906</v>
      </c>
      <c r="M15" s="7">
        <v>0.11742906</v>
      </c>
      <c r="N15" s="12">
        <v>1.3253072E-5</v>
      </c>
      <c r="O15" s="12">
        <v>1.5456417E-8</v>
      </c>
      <c r="Q15" s="7">
        <v>0.64035907999999997</v>
      </c>
      <c r="R15" s="7">
        <v>0.67066148999999997</v>
      </c>
      <c r="S15" s="12"/>
      <c r="U15" s="12"/>
      <c r="V15" s="12"/>
      <c r="W15" s="12"/>
    </row>
    <row r="16" spans="2:23" ht="15.5">
      <c r="B16" t="s">
        <v>16</v>
      </c>
      <c r="D16" s="7">
        <v>5.5656438000000001</v>
      </c>
      <c r="E16" s="7">
        <v>4.8388540000000004</v>
      </c>
      <c r="F16" s="7">
        <v>4.1214044999999997</v>
      </c>
      <c r="G16" s="7">
        <v>3.0732024999999998</v>
      </c>
      <c r="I16" s="7">
        <v>4.1214044999999997</v>
      </c>
      <c r="J16" s="7">
        <v>1.1446428</v>
      </c>
      <c r="K16" s="7">
        <v>0</v>
      </c>
      <c r="M16" s="7">
        <v>0</v>
      </c>
      <c r="N16" s="7">
        <v>0.38830543000000001</v>
      </c>
      <c r="O16" s="7">
        <v>1.2112763</v>
      </c>
      <c r="Q16" s="7">
        <v>1.0812554999999999</v>
      </c>
      <c r="R16" s="7">
        <v>1.1446429</v>
      </c>
      <c r="S16" s="7"/>
      <c r="U16" s="7"/>
      <c r="V16" s="7"/>
      <c r="W16" s="7"/>
    </row>
    <row r="17" spans="1:23" ht="15.5">
      <c r="B17" t="s">
        <v>17</v>
      </c>
      <c r="D17" s="7">
        <v>0.53041841999999995</v>
      </c>
      <c r="E17" s="7">
        <v>0.88005973999999998</v>
      </c>
      <c r="F17" s="7">
        <v>1.2249768000000001</v>
      </c>
      <c r="G17" s="7">
        <v>1.7285581000000001</v>
      </c>
      <c r="I17" s="7">
        <v>1.2249768000000001</v>
      </c>
      <c r="J17" s="7">
        <v>2.6542504999999998</v>
      </c>
      <c r="K17" s="7">
        <v>3.2044475000000001</v>
      </c>
      <c r="M17" s="7">
        <v>3.2044475000000001</v>
      </c>
      <c r="N17" s="7">
        <v>3.1190334000000002</v>
      </c>
      <c r="O17" s="7">
        <v>2.8535838</v>
      </c>
      <c r="Q17" s="7">
        <v>2.6907987000000002</v>
      </c>
      <c r="R17" s="7">
        <v>2.6542503000000002</v>
      </c>
      <c r="S17" s="7"/>
      <c r="U17" s="7"/>
      <c r="V17" s="7"/>
      <c r="W17" s="7"/>
    </row>
    <row r="18" spans="1:23" ht="15.5">
      <c r="B18" t="s">
        <v>18</v>
      </c>
      <c r="D18" s="7">
        <v>2.1642284999999999E-4</v>
      </c>
      <c r="E18" s="7">
        <v>6.1235469000000002E-4</v>
      </c>
      <c r="F18" s="7">
        <v>1.218787E-3</v>
      </c>
      <c r="G18" s="7">
        <v>2.5215417999999998E-3</v>
      </c>
      <c r="I18" s="7">
        <v>1.218787E-3</v>
      </c>
      <c r="J18" s="7">
        <v>4.2107543000000002E-3</v>
      </c>
      <c r="K18" s="7">
        <v>5.7282225000000004E-3</v>
      </c>
      <c r="M18" s="7">
        <v>5.7282225000000004E-3</v>
      </c>
      <c r="N18" s="7">
        <v>2.9766807E-3</v>
      </c>
      <c r="O18" s="7">
        <v>1.7795224999999999E-3</v>
      </c>
      <c r="Q18" s="7">
        <v>1.0877852E-3</v>
      </c>
      <c r="R18" s="7">
        <v>4.2107550999999997E-3</v>
      </c>
      <c r="S18" s="7"/>
      <c r="U18" s="7"/>
      <c r="V18" s="7"/>
      <c r="W18" s="7"/>
    </row>
    <row r="19" spans="1:23">
      <c r="A19" s="2"/>
      <c r="C19" s="2" t="s">
        <v>19</v>
      </c>
      <c r="D19" s="2"/>
    </row>
    <row r="20" spans="1:23" ht="15.5">
      <c r="A20">
        <v>1</v>
      </c>
      <c r="B20" t="s">
        <v>20</v>
      </c>
      <c r="C20" s="2">
        <v>72.150000000000006</v>
      </c>
      <c r="D20" s="7">
        <v>2.3601642000000002E-3</v>
      </c>
      <c r="E20" s="7">
        <v>4.2109032000000003E-3</v>
      </c>
      <c r="F20" s="7">
        <v>6.1386447000000002E-3</v>
      </c>
      <c r="G20" s="7">
        <v>9.0675241E-3</v>
      </c>
      <c r="I20" s="7">
        <v>6.1386447000000002E-3</v>
      </c>
      <c r="J20" s="7">
        <v>1.5479713000000001E-2</v>
      </c>
      <c r="K20" s="7">
        <v>1.9634921999999999E-2</v>
      </c>
      <c r="M20" s="7">
        <v>1.9634921999999999E-2</v>
      </c>
      <c r="N20" s="7">
        <v>1.8128258000000001E-2</v>
      </c>
      <c r="O20" s="7">
        <v>1.5737933999999999E-2</v>
      </c>
      <c r="Q20" s="7">
        <v>1.1953159E-2</v>
      </c>
      <c r="R20" s="7">
        <v>1.5479712E-2</v>
      </c>
      <c r="S20" s="7"/>
      <c r="U20" s="7"/>
      <c r="V20" s="7"/>
      <c r="W20" s="7"/>
    </row>
    <row r="21" spans="1:23" ht="15.5">
      <c r="A21">
        <v>6</v>
      </c>
      <c r="B21" t="s">
        <v>21</v>
      </c>
      <c r="C21" s="2">
        <v>86.18</v>
      </c>
      <c r="D21" s="7">
        <v>2.1730718000000002E-3</v>
      </c>
      <c r="E21" s="7">
        <v>3.8621397999999999E-3</v>
      </c>
      <c r="F21" s="7">
        <v>5.6157749000000003E-3</v>
      </c>
      <c r="G21" s="7">
        <v>8.2735736000000004E-3</v>
      </c>
      <c r="I21" s="7">
        <v>5.6157749000000003E-3</v>
      </c>
      <c r="J21" s="7">
        <v>1.4033739999999999E-2</v>
      </c>
      <c r="K21" s="7">
        <v>1.7741962999999999E-2</v>
      </c>
      <c r="M21" s="7">
        <v>1.7741962999999999E-2</v>
      </c>
      <c r="N21" s="7">
        <v>1.6431896000000001E-2</v>
      </c>
      <c r="O21" s="7">
        <v>1.4312119E-2</v>
      </c>
      <c r="Q21" s="7">
        <v>1.1008343E-2</v>
      </c>
      <c r="R21" s="7">
        <v>1.4033739E-2</v>
      </c>
      <c r="S21" s="7"/>
      <c r="U21" s="7"/>
      <c r="V21" s="7"/>
      <c r="W21" s="7"/>
    </row>
    <row r="22" spans="1:23" ht="15.5">
      <c r="A22">
        <v>7</v>
      </c>
      <c r="B22" t="s">
        <v>22</v>
      </c>
      <c r="C22" s="2">
        <v>100.21</v>
      </c>
      <c r="D22" s="7">
        <v>2.0008877E-3</v>
      </c>
      <c r="E22" s="7">
        <v>3.542412E-3</v>
      </c>
      <c r="F22" s="7">
        <v>5.1376694000000002E-3</v>
      </c>
      <c r="G22" s="7">
        <v>7.5494832999999997E-3</v>
      </c>
      <c r="I22" s="7">
        <v>5.1376694000000002E-3</v>
      </c>
      <c r="J22" s="7">
        <v>1.2723383E-2</v>
      </c>
      <c r="K22" s="7">
        <v>1.6032252E-2</v>
      </c>
      <c r="M22" s="7">
        <v>1.6032252E-2</v>
      </c>
      <c r="N22" s="7">
        <v>1.4895136999999999E-2</v>
      </c>
      <c r="O22" s="7">
        <v>1.3016196000000001E-2</v>
      </c>
      <c r="Q22" s="7">
        <v>1.0138507999999999E-2</v>
      </c>
      <c r="R22" s="7">
        <v>1.2723383E-2</v>
      </c>
      <c r="S22" s="7"/>
      <c r="U22" s="7"/>
      <c r="V22" s="7"/>
      <c r="W22" s="7"/>
    </row>
    <row r="23" spans="1:23" ht="15.5">
      <c r="A23">
        <v>8</v>
      </c>
      <c r="B23" t="s">
        <v>23</v>
      </c>
      <c r="C23" s="2">
        <v>114.23</v>
      </c>
      <c r="D23" s="7">
        <v>1.8424184999999999E-3</v>
      </c>
      <c r="E23" s="7">
        <v>3.2492916999999999E-3</v>
      </c>
      <c r="F23" s="7">
        <v>4.7004786999999999E-3</v>
      </c>
      <c r="G23" s="7">
        <v>6.8890801000000002E-3</v>
      </c>
      <c r="I23" s="7">
        <v>4.7004786999999999E-3</v>
      </c>
      <c r="J23" s="7">
        <v>1.1535881E-2</v>
      </c>
      <c r="K23" s="7">
        <v>1.4487988E-2</v>
      </c>
      <c r="M23" s="7">
        <v>1.4487988E-2</v>
      </c>
      <c r="N23" s="7">
        <v>1.3502900999999999E-2</v>
      </c>
      <c r="O23" s="7">
        <v>1.183828E-2</v>
      </c>
      <c r="Q23" s="7">
        <v>9.3376827000000006E-3</v>
      </c>
      <c r="R23" s="7">
        <v>1.1535881E-2</v>
      </c>
      <c r="S23" s="7"/>
      <c r="U23" s="7"/>
      <c r="V23" s="7"/>
      <c r="W23" s="7"/>
    </row>
    <row r="24" spans="1:23" ht="15.5">
      <c r="A24">
        <v>9</v>
      </c>
      <c r="B24" t="s">
        <v>24</v>
      </c>
      <c r="C24" s="2">
        <v>128.26</v>
      </c>
      <c r="D24" s="7">
        <v>1.6965667000000001E-3</v>
      </c>
      <c r="E24" s="7">
        <v>2.9805546E-3</v>
      </c>
      <c r="F24" s="7">
        <v>4.3006861000000002E-3</v>
      </c>
      <c r="G24" s="7">
        <v>6.2867386999999999E-3</v>
      </c>
      <c r="I24" s="7">
        <v>4.3006861000000002E-3</v>
      </c>
      <c r="J24" s="7">
        <v>1.0459675999999999E-2</v>
      </c>
      <c r="K24" s="7">
        <v>1.3093107E-2</v>
      </c>
      <c r="M24" s="7">
        <v>1.3093107E-2</v>
      </c>
      <c r="N24" s="7">
        <v>1.2241535E-2</v>
      </c>
      <c r="O24" s="7">
        <v>1.0767575999999999E-2</v>
      </c>
      <c r="Q24" s="7">
        <v>8.6003733000000002E-3</v>
      </c>
      <c r="R24" s="7">
        <v>1.0459675E-2</v>
      </c>
      <c r="S24" s="7"/>
      <c r="U24" s="7"/>
      <c r="V24" s="7"/>
      <c r="W24" s="7"/>
    </row>
    <row r="25" spans="1:23" ht="15.5">
      <c r="A25">
        <v>10</v>
      </c>
      <c r="B25" t="s">
        <v>25</v>
      </c>
      <c r="C25" s="2">
        <v>142.29</v>
      </c>
      <c r="D25" s="7">
        <v>1.5623232999999999E-3</v>
      </c>
      <c r="E25" s="7">
        <v>2.7341632E-3</v>
      </c>
      <c r="F25" s="7">
        <v>3.9350779000000002E-3</v>
      </c>
      <c r="G25" s="7">
        <v>5.7373323999999996E-3</v>
      </c>
      <c r="I25" s="7">
        <v>3.9350779000000002E-3</v>
      </c>
      <c r="J25" s="7">
        <v>9.4842992000000008E-3</v>
      </c>
      <c r="K25" s="7">
        <v>1.1833107000000001E-2</v>
      </c>
      <c r="M25" s="7">
        <v>1.1833107000000001E-2</v>
      </c>
      <c r="N25" s="7">
        <v>1.1098683E-2</v>
      </c>
      <c r="O25" s="7">
        <v>9.7942820999999992E-3</v>
      </c>
      <c r="Q25" s="7">
        <v>7.9215247999999995E-3</v>
      </c>
      <c r="R25" s="7">
        <v>9.4842986999999993E-3</v>
      </c>
      <c r="S25" s="7"/>
      <c r="U25" s="7"/>
      <c r="V25" s="7"/>
      <c r="W25" s="7"/>
    </row>
    <row r="26" spans="1:23" ht="15.5">
      <c r="A26">
        <v>11</v>
      </c>
      <c r="B26" t="s">
        <v>26</v>
      </c>
      <c r="C26" s="2">
        <v>156.31</v>
      </c>
      <c r="D26" s="13">
        <v>1.4387598E-3</v>
      </c>
      <c r="E26" s="13">
        <v>2.5082507999999999E-3</v>
      </c>
      <c r="F26" s="13">
        <v>3.6007179000000001E-3</v>
      </c>
      <c r="G26" s="13">
        <v>5.2361886999999999E-3</v>
      </c>
      <c r="I26" s="13">
        <v>3.6007179000000001E-3</v>
      </c>
      <c r="J26" s="13">
        <v>8.6002717999999999E-3</v>
      </c>
      <c r="K26" s="13">
        <v>1.06949E-2</v>
      </c>
      <c r="M26" s="13">
        <v>1.06949E-2</v>
      </c>
      <c r="N26" s="13">
        <v>1.0063157E-2</v>
      </c>
      <c r="O26" s="13">
        <v>8.9094949000000003E-3</v>
      </c>
      <c r="Q26" s="7">
        <v>7.2964854999999999E-3</v>
      </c>
      <c r="R26" s="7">
        <v>8.6002713000000001E-3</v>
      </c>
      <c r="S26" s="13"/>
      <c r="U26" s="13"/>
      <c r="V26" s="13"/>
      <c r="W26" s="13"/>
    </row>
    <row r="27" spans="1:23" ht="13">
      <c r="C27" s="14" t="s">
        <v>27</v>
      </c>
      <c r="D27" s="1">
        <f>SUM(D20:D26)</f>
        <v>1.3074192E-2</v>
      </c>
      <c r="E27" s="1">
        <f>SUM(E20:E26)</f>
        <v>2.3087715300000002E-2</v>
      </c>
      <c r="F27" s="1">
        <f>SUM(F20:F26)</f>
        <v>3.3429049599999996E-2</v>
      </c>
      <c r="G27" s="1">
        <f>SUM(G20:G26)</f>
        <v>4.9039920899999999E-2</v>
      </c>
      <c r="I27" s="1">
        <f>SUM(I20:I26)</f>
        <v>3.3429049599999996E-2</v>
      </c>
      <c r="J27" s="1">
        <f>SUM(J20:J26)</f>
        <v>8.2316964000000006E-2</v>
      </c>
      <c r="K27" s="1">
        <f>SUM(K20:K26)</f>
        <v>0.10351823899999998</v>
      </c>
      <c r="M27" s="1">
        <f>SUM(M20:M26)</f>
        <v>0.10351823899999998</v>
      </c>
      <c r="N27" s="1">
        <f>SUM(N20:N26)</f>
        <v>9.6361566999999995E-2</v>
      </c>
      <c r="O27" s="1">
        <f>SUM(O20:O26)</f>
        <v>8.4375881999999985E-2</v>
      </c>
      <c r="Q27" s="1">
        <f>SUM(Q20:Q26)</f>
        <v>6.6256076300000008E-2</v>
      </c>
      <c r="R27" s="1">
        <f>SUM(R20:R26)</f>
        <v>8.2316960000000008E-2</v>
      </c>
      <c r="S27" s="1">
        <f>SUM(S20:S26)</f>
        <v>0</v>
      </c>
      <c r="U27" s="1">
        <f>SUM(U20:U26)</f>
        <v>0</v>
      </c>
      <c r="V27" s="1">
        <f>SUM(V20:V26)</f>
        <v>0</v>
      </c>
      <c r="W27" s="1">
        <f>SUM(W20:W26)</f>
        <v>0</v>
      </c>
    </row>
    <row r="29" spans="1:23" ht="15.5">
      <c r="B29" t="s">
        <v>28</v>
      </c>
      <c r="D29" s="7">
        <v>2.6895708000000001E-2</v>
      </c>
      <c r="E29" s="7">
        <v>4.3993509E-2</v>
      </c>
      <c r="F29" s="7">
        <v>6.0660960999999999E-2</v>
      </c>
      <c r="G29" s="7">
        <v>8.4786845E-2</v>
      </c>
      <c r="I29" s="7">
        <v>6.0660960999999999E-2</v>
      </c>
      <c r="J29" s="7">
        <v>0.12699541</v>
      </c>
      <c r="K29" s="7">
        <v>0.15147542</v>
      </c>
      <c r="M29" s="7">
        <v>0.15147542</v>
      </c>
      <c r="N29" s="7">
        <v>0.14928954999999999</v>
      </c>
      <c r="O29" s="7">
        <v>0.13825787</v>
      </c>
      <c r="Q29" s="7">
        <v>0.13646997999999999</v>
      </c>
      <c r="R29" s="7"/>
      <c r="S29" s="7"/>
      <c r="U29" s="7"/>
      <c r="V29" s="7"/>
      <c r="W29" s="7"/>
    </row>
    <row r="30" spans="1:23" ht="13">
      <c r="G30" s="15"/>
    </row>
    <row r="31" spans="1:23">
      <c r="B31" t="s">
        <v>4</v>
      </c>
      <c r="D31">
        <f>SUM(D15:D26)+D29</f>
        <v>8.9387302428499993</v>
      </c>
      <c r="E31">
        <f>SUM(E15:E26)+E29</f>
        <v>8.2386559189900019</v>
      </c>
      <c r="F31">
        <f>SUM(F15:F26)+F29</f>
        <v>7.5476086975999994</v>
      </c>
      <c r="G31">
        <f>SUM(G15:G26)+G29</f>
        <v>6.5378407076999991</v>
      </c>
      <c r="I31">
        <f>SUM(I15:I26)+I29</f>
        <v>7.5476086975999994</v>
      </c>
      <c r="J31">
        <f>SUM(J15:J26)+J29</f>
        <v>4.683077378300001</v>
      </c>
      <c r="K31">
        <f>SUM(K15:K26)+K29</f>
        <v>3.5825984415000005</v>
      </c>
      <c r="M31">
        <f>SUM(M15:M26)+M29</f>
        <v>3.5825984415000005</v>
      </c>
      <c r="N31">
        <f>SUM(N15:N26)+N29</f>
        <v>3.7559798807719993</v>
      </c>
      <c r="O31">
        <f>SUM(O15:O26)+O29</f>
        <v>4.289273389956417</v>
      </c>
      <c r="Q31">
        <f>SUM(Q15:Q26)+Q29</f>
        <v>4.6162271215000015</v>
      </c>
      <c r="R31">
        <f>SUM(R15:R26)+R29</f>
        <v>4.5560824051000015</v>
      </c>
      <c r="S31">
        <f>SUM(S15:S26)+S29</f>
        <v>0</v>
      </c>
    </row>
    <row r="32" spans="1:23" ht="13">
      <c r="G32" s="15"/>
    </row>
    <row r="33" spans="2:23" ht="15.5">
      <c r="B33" t="s">
        <v>29</v>
      </c>
      <c r="C33" t="s">
        <v>30</v>
      </c>
      <c r="D33" s="15">
        <f>(D11-D15)/D11</f>
        <v>0.15925548999999994</v>
      </c>
      <c r="E33" s="15">
        <f>(E11-E15)/E11</f>
        <v>0.26438541999999998</v>
      </c>
      <c r="F33" s="15">
        <f>(F11-F15)/F11</f>
        <v>0.36822442</v>
      </c>
      <c r="G33" s="15">
        <f>(G11-G15)/G11</f>
        <v>0.52008045999999997</v>
      </c>
      <c r="I33" s="15">
        <f>(I11-I15)/I11</f>
        <v>0.36822442</v>
      </c>
      <c r="J33" s="15">
        <f>(J11-J15)/J11</f>
        <v>0.79880171499999986</v>
      </c>
      <c r="K33" s="15">
        <f>(K11-K15)/K11</f>
        <v>0.96477128199999995</v>
      </c>
      <c r="M33" s="15">
        <f>(M11-M15)/M11</f>
        <v>0.96477128199999995</v>
      </c>
      <c r="N33" s="15">
        <f>(N11-N15)/N11</f>
        <v>0.99999575901696003</v>
      </c>
      <c r="O33" s="15">
        <f>(O11-O15)/O11</f>
        <v>0.99999999459025402</v>
      </c>
      <c r="Q33" s="15">
        <f>(Q11-Q15)/Q11</f>
        <v>0.80789227599999991</v>
      </c>
      <c r="R33" s="15">
        <f>(R11-R15)/R11</f>
        <v>0.798801553</v>
      </c>
      <c r="S33" s="15">
        <f>(S11-S15)/S11</f>
        <v>1</v>
      </c>
      <c r="U33" s="15">
        <f>(U11-U15)/U11</f>
        <v>1</v>
      </c>
      <c r="V33" s="15">
        <f>(V11-V15)/V11</f>
        <v>1</v>
      </c>
      <c r="W33" s="15">
        <f>(W11-W15)/W11</f>
        <v>1</v>
      </c>
    </row>
    <row r="34" spans="2:23" ht="13">
      <c r="D34" s="16">
        <f>D33</f>
        <v>0.15925548999999994</v>
      </c>
      <c r="E34" s="16">
        <f>E33</f>
        <v>0.26438541999999998</v>
      </c>
      <c r="F34" s="16">
        <f>F33</f>
        <v>0.36822442</v>
      </c>
      <c r="G34" s="16">
        <f>G33</f>
        <v>0.52008045999999997</v>
      </c>
      <c r="I34" s="16">
        <f>I33</f>
        <v>0.36822442</v>
      </c>
      <c r="J34" s="16">
        <f>J33</f>
        <v>0.79880171499999986</v>
      </c>
      <c r="K34" s="16">
        <f>K33</f>
        <v>0.96477128199999995</v>
      </c>
      <c r="M34" s="16">
        <f>M33</f>
        <v>0.96477128199999995</v>
      </c>
      <c r="N34" s="16">
        <f>N33</f>
        <v>0.99999575901696003</v>
      </c>
      <c r="O34" s="16">
        <f>O33</f>
        <v>0.99999999459025402</v>
      </c>
      <c r="Q34" s="16">
        <f>Q33</f>
        <v>0.80789227599999991</v>
      </c>
      <c r="R34" s="16">
        <f>R33</f>
        <v>0.798801553</v>
      </c>
      <c r="S34" s="16">
        <f>S33</f>
        <v>1</v>
      </c>
      <c r="U34" s="16">
        <f>U33</f>
        <v>1</v>
      </c>
      <c r="V34" s="16">
        <f>V33</f>
        <v>1</v>
      </c>
      <c r="W34" s="16">
        <f>W33</f>
        <v>1</v>
      </c>
    </row>
    <row r="35" spans="2:23" ht="13">
      <c r="G35" s="15"/>
      <c r="I35" s="15"/>
      <c r="J35" s="15"/>
    </row>
    <row r="36" spans="2:23">
      <c r="B36" t="s">
        <v>31</v>
      </c>
      <c r="D36">
        <f>D29/D27</f>
        <v>2.0571602436311172</v>
      </c>
      <c r="E36">
        <f>E29/E27</f>
        <v>1.9054942608374938</v>
      </c>
      <c r="F36">
        <f>F29/F27</f>
        <v>1.8146181756839419</v>
      </c>
      <c r="G36">
        <f>G29/G27</f>
        <v>1.728935190839592</v>
      </c>
      <c r="I36">
        <f>I29/I27</f>
        <v>1.8146181756839419</v>
      </c>
      <c r="J36">
        <f>J29/J27</f>
        <v>1.5427611008588702</v>
      </c>
      <c r="K36">
        <f>K29/K27</f>
        <v>1.463272766840634</v>
      </c>
      <c r="M36">
        <f>M29/M27</f>
        <v>1.463272766840634</v>
      </c>
      <c r="N36">
        <f>N29/N27</f>
        <v>1.5492644489685394</v>
      </c>
      <c r="O36">
        <f>O29/O27</f>
        <v>1.6385946638163738</v>
      </c>
      <c r="Q36">
        <f>Q29/Q27</f>
        <v>2.0597353121558148</v>
      </c>
      <c r="R36">
        <f>R29/R27</f>
        <v>0</v>
      </c>
    </row>
    <row r="37" spans="2:23" ht="13">
      <c r="G37" s="15"/>
    </row>
    <row r="38" spans="2:23">
      <c r="B38" t="s">
        <v>32</v>
      </c>
      <c r="C38" t="s">
        <v>33</v>
      </c>
      <c r="D38">
        <f>$A$20*D20+$A$21*D21+$A$22*D22+$A$23*D23+$A$24*D24+$A$25*D25+$A$26*D26</f>
        <v>9.0862847999999996E-2</v>
      </c>
      <c r="E38">
        <f>$A$20*E20+$A$21*E21+$A$22*E22+$A$23*E23+$A$24*E24+$A$25*E25+$A$26*E26</f>
        <v>0.15993234179999999</v>
      </c>
      <c r="F38">
        <f>$A$20*F20+$A$21*F21+$A$22*F22+$A$23*F23+$A$24*F24+$A$25*F25+$A$26*F26</f>
        <v>0.2310656603</v>
      </c>
      <c r="G38">
        <f>$A$20*G20+$A$21*G21+$A$22*G22+$A$23*G23+$A$24*G24+$A$25*G25+$A$26*G26</f>
        <v>0.33822003759999997</v>
      </c>
      <c r="I38">
        <f>$A$20*I20+$A$21*I21+$A$22*I22+$A$23*I23+$A$24*I24+$A$25*I25+$A$26*I26</f>
        <v>0.2310656603</v>
      </c>
      <c r="J38">
        <f>$A$20*J20+$A$21*J21+$A$22*J22+$A$23*J23+$A$24*J24+$A$25*J25+$A$26*J26</f>
        <v>0.56461594780000002</v>
      </c>
      <c r="K38">
        <f>$A$20*K20+$A$21*K21+$A$22*K22+$A$23*K23+$A$24*K24+$A$25*K25+$A$26*K26</f>
        <v>0.70802930100000006</v>
      </c>
      <c r="M38">
        <f>$A$20*M20+$A$21*M21+$A$22*M22+$A$23*M23+$A$24*M24+$A$25*M25+$A$26*M26</f>
        <v>0.70802930100000006</v>
      </c>
      <c r="N38">
        <f>$A$20*N20+$A$21*N21+$A$22*N22+$A$23*N23+$A$24*N24+$A$25*N25+$A$26*N26</f>
        <v>0.660864173</v>
      </c>
      <c r="O38">
        <f>$A$20*O20+$A$21*O21+$A$22*O22+$A$23*O23+$A$24*O24+$A$25*O25+$A$26*O26</f>
        <v>0.58028570889999997</v>
      </c>
      <c r="Q38">
        <f>$A$20*Q20+$A$21*Q21+$A$22*Q22+$A$23*Q23+$A$24*Q24+$A$25*Q25+$A$26*Q26</f>
        <v>0.46055418280000004</v>
      </c>
      <c r="R38">
        <f>$A$20*R20+$A$21*R21+$A$22*R22+$A$23*R23+$A$24*R24+$A$25*R25+$A$26*R26</f>
        <v>0.56461592129999993</v>
      </c>
      <c r="S38">
        <f>$A$20*S20+$A$21*S21+$A$22*S22+$A$23*S23+$A$24*S24+$A$25*S25+$A$26*S26</f>
        <v>0</v>
      </c>
      <c r="U38">
        <f>$A$20*U20+$A$21*U21+$A$22*U22+$A$23*U23+$A$24*U24+$A$25*U25+$A$26*U26</f>
        <v>0</v>
      </c>
      <c r="V38">
        <f>$A$20*V20+$A$21*V21+$A$22*V22+$A$23*V23+$A$24*V24+$A$25*V25+$A$26*V26</f>
        <v>0</v>
      </c>
      <c r="W38">
        <f>$A$20*W20+$A$21*W21+$A$22*W22+$A$23*W23+$A$24*W24+$A$25*W25+$A$26*W26</f>
        <v>0</v>
      </c>
    </row>
    <row r="39" spans="2:23">
      <c r="B39" s="2" t="s">
        <v>34</v>
      </c>
      <c r="C39" t="s">
        <v>35</v>
      </c>
      <c r="D39">
        <f>D11</f>
        <v>3.333333333333333</v>
      </c>
      <c r="E39">
        <f>E11</f>
        <v>3.333333333333333</v>
      </c>
      <c r="F39">
        <f>F11</f>
        <v>3.333333333333333</v>
      </c>
      <c r="G39">
        <f>G11</f>
        <v>3.333333333333333</v>
      </c>
      <c r="I39">
        <f>I11</f>
        <v>3.333333333333333</v>
      </c>
      <c r="J39">
        <f>J11</f>
        <v>3.333333333333333</v>
      </c>
      <c r="K39">
        <f>K11</f>
        <v>3.333333333333333</v>
      </c>
      <c r="M39">
        <f>M11</f>
        <v>3.333333333333333</v>
      </c>
      <c r="N39">
        <f>N11</f>
        <v>3.125</v>
      </c>
      <c r="O39">
        <f>O11</f>
        <v>2.8571428571428568</v>
      </c>
      <c r="Q39">
        <f>Q11</f>
        <v>3.333333333333333</v>
      </c>
      <c r="R39">
        <f>R11</f>
        <v>3.333333333333333</v>
      </c>
      <c r="S39">
        <f>S11</f>
        <v>3.333333333333333</v>
      </c>
      <c r="U39">
        <f>U11</f>
        <v>3.125</v>
      </c>
      <c r="V39">
        <f>V11</f>
        <v>3.125</v>
      </c>
      <c r="W39">
        <f>W11</f>
        <v>3.125</v>
      </c>
    </row>
    <row r="40" spans="2:23">
      <c r="C40" t="s">
        <v>36</v>
      </c>
      <c r="D40" s="2">
        <f>D38/D39</f>
        <v>2.7258854400000001E-2</v>
      </c>
      <c r="E40" s="2">
        <f>E38/E39</f>
        <v>4.7979702540000002E-2</v>
      </c>
      <c r="F40" s="2">
        <f>F38/F39</f>
        <v>6.9319698090000006E-2</v>
      </c>
      <c r="G40" s="2">
        <f>G38/G39</f>
        <v>0.10146601128</v>
      </c>
      <c r="I40" s="2">
        <f>I38/I39</f>
        <v>6.9319698090000006E-2</v>
      </c>
      <c r="J40" s="2">
        <f>J38/J39</f>
        <v>0.16938478434000001</v>
      </c>
      <c r="K40" s="2">
        <f>K38/K39</f>
        <v>0.21240879030000004</v>
      </c>
      <c r="M40" s="2">
        <f>M38/M39</f>
        <v>0.21240879030000004</v>
      </c>
      <c r="N40" s="2">
        <f>N38/N39</f>
        <v>0.21147653536</v>
      </c>
      <c r="O40" s="2">
        <f>O38/O39</f>
        <v>0.20309999811500001</v>
      </c>
      <c r="Q40" s="2">
        <f>Q38/Q39</f>
        <v>0.13816625484000003</v>
      </c>
      <c r="R40" s="2">
        <f>R38/R39</f>
        <v>0.16938477638999999</v>
      </c>
      <c r="S40" s="2">
        <f>S38/S39</f>
        <v>0</v>
      </c>
      <c r="U40" s="2">
        <f>U38/U39</f>
        <v>0</v>
      </c>
      <c r="V40" s="2">
        <f>V38/V39</f>
        <v>0</v>
      </c>
      <c r="W40" s="2">
        <f>W38/W39</f>
        <v>0</v>
      </c>
    </row>
    <row r="41" spans="2:23">
      <c r="D41" s="17">
        <f>D40</f>
        <v>2.7258854400000001E-2</v>
      </c>
      <c r="E41" s="17">
        <f>E40</f>
        <v>4.7979702540000002E-2</v>
      </c>
      <c r="F41" s="17">
        <f>F40</f>
        <v>6.9319698090000006E-2</v>
      </c>
      <c r="G41" s="17">
        <f>G40</f>
        <v>0.10146601128</v>
      </c>
      <c r="I41" s="17">
        <f>I40</f>
        <v>6.9319698090000006E-2</v>
      </c>
      <c r="J41" s="17">
        <f>J40</f>
        <v>0.16938478434000001</v>
      </c>
      <c r="K41" s="17">
        <f>K40</f>
        <v>0.21240879030000004</v>
      </c>
      <c r="M41" s="17">
        <f>M40</f>
        <v>0.21240879030000004</v>
      </c>
      <c r="N41" s="17">
        <f>N40</f>
        <v>0.21147653536</v>
      </c>
      <c r="O41" s="17">
        <f>O40</f>
        <v>0.20309999811500001</v>
      </c>
      <c r="Q41" s="17">
        <f>Q40</f>
        <v>0.13816625484000003</v>
      </c>
      <c r="R41" s="17">
        <f>R40</f>
        <v>0.16938477638999999</v>
      </c>
      <c r="S41" s="17">
        <f>S40</f>
        <v>0</v>
      </c>
      <c r="U41" s="17">
        <f>U40</f>
        <v>0</v>
      </c>
      <c r="V41" s="17">
        <f>V40</f>
        <v>0</v>
      </c>
      <c r="W41" s="17">
        <f>W40</f>
        <v>0</v>
      </c>
    </row>
    <row r="44" spans="2:23">
      <c r="B44" t="s">
        <v>37</v>
      </c>
      <c r="C44" t="s">
        <v>33</v>
      </c>
      <c r="D44">
        <f>D38</f>
        <v>9.0862847999999996E-2</v>
      </c>
      <c r="E44">
        <f>E38</f>
        <v>0.15993234179999999</v>
      </c>
      <c r="F44">
        <f>F38</f>
        <v>0.2310656603</v>
      </c>
      <c r="G44">
        <f>G38</f>
        <v>0.33822003759999997</v>
      </c>
      <c r="I44">
        <f>I38</f>
        <v>0.2310656603</v>
      </c>
      <c r="J44">
        <f>J38</f>
        <v>0.56461594780000002</v>
      </c>
      <c r="K44">
        <f>K38</f>
        <v>0.70802930100000006</v>
      </c>
      <c r="M44">
        <f>M38</f>
        <v>0.70802930100000006</v>
      </c>
      <c r="N44">
        <f>N38</f>
        <v>0.660864173</v>
      </c>
      <c r="O44">
        <f>O38</f>
        <v>0.58028570889999997</v>
      </c>
      <c r="Q44">
        <f>Q38</f>
        <v>0.46055418280000004</v>
      </c>
      <c r="R44">
        <f>R38</f>
        <v>0.56461592129999993</v>
      </c>
      <c r="S44">
        <f>S38</f>
        <v>0</v>
      </c>
      <c r="U44">
        <f>U38</f>
        <v>0</v>
      </c>
      <c r="V44">
        <f>V38</f>
        <v>0</v>
      </c>
      <c r="W44">
        <f>W38</f>
        <v>0</v>
      </c>
    </row>
    <row r="45" spans="2:23">
      <c r="B45" t="s">
        <v>38</v>
      </c>
      <c r="C45" t="s">
        <v>35</v>
      </c>
      <c r="D45">
        <f>D39*D33</f>
        <v>0.53085163333333307</v>
      </c>
      <c r="E45">
        <f>E39*E33</f>
        <v>0.88128473333333324</v>
      </c>
      <c r="F45">
        <f>F39*F33</f>
        <v>1.2274147333333332</v>
      </c>
      <c r="G45">
        <f>G39*G33</f>
        <v>1.733601533333333</v>
      </c>
      <c r="I45">
        <f>I39*I33</f>
        <v>1.2274147333333332</v>
      </c>
      <c r="J45">
        <f>J39*J33</f>
        <v>2.6626723833333328</v>
      </c>
      <c r="K45">
        <f>K39*K33</f>
        <v>3.215904273333333</v>
      </c>
      <c r="M45">
        <f>M39*M33</f>
        <v>3.215904273333333</v>
      </c>
      <c r="N45">
        <f>N39*N33</f>
        <v>3.1249867469280002</v>
      </c>
      <c r="O45">
        <f>O39*O33</f>
        <v>2.8571428416864397</v>
      </c>
      <c r="Q45">
        <f>Q39*Q33</f>
        <v>2.692974253333333</v>
      </c>
      <c r="R45">
        <f>R39*R33</f>
        <v>2.662671843333333</v>
      </c>
      <c r="S45">
        <f>S39*S33</f>
        <v>3.333333333333333</v>
      </c>
      <c r="U45">
        <f>U39*U33</f>
        <v>3.125</v>
      </c>
      <c r="V45">
        <f>V39*V33</f>
        <v>3.125</v>
      </c>
      <c r="W45">
        <f>W39*W33</f>
        <v>3.125</v>
      </c>
    </row>
    <row r="46" spans="2:23">
      <c r="C46" t="s">
        <v>36</v>
      </c>
      <c r="D46" s="2">
        <f>D44/D45</f>
        <v>0.1711642995792485</v>
      </c>
      <c r="E46" s="2">
        <f>E44/E45</f>
        <v>0.18147635576878635</v>
      </c>
      <c r="F46" s="2">
        <f>F44/F45</f>
        <v>0.18825394059959416</v>
      </c>
      <c r="G46" s="2">
        <f>G44/G45</f>
        <v>0.19509675729789966</v>
      </c>
      <c r="I46" s="2">
        <f>I44/I45</f>
        <v>0.18825394059959416</v>
      </c>
      <c r="J46" s="2">
        <f>J44/J45</f>
        <v>0.21204859874393239</v>
      </c>
      <c r="K46" s="2">
        <f>K44/K45</f>
        <v>0.22016491811372144</v>
      </c>
      <c r="M46" s="2">
        <f>M44/M45</f>
        <v>0.22016491811372144</v>
      </c>
      <c r="N46" s="2">
        <f>N44/N45</f>
        <v>0.21147743223220342</v>
      </c>
      <c r="O46" s="2">
        <f>O44/O45</f>
        <v>0.20309999921371941</v>
      </c>
      <c r="Q46" s="2">
        <f>Q44/Q45</f>
        <v>0.17102064092515229</v>
      </c>
      <c r="R46" s="2">
        <f>R44/R45</f>
        <v>0.2120486317957872</v>
      </c>
      <c r="S46" s="2">
        <f>S44/S45</f>
        <v>0</v>
      </c>
      <c r="U46" s="2">
        <f>U44/U45</f>
        <v>0</v>
      </c>
      <c r="V46" s="2">
        <f>V44/V45</f>
        <v>0</v>
      </c>
      <c r="W46" s="2">
        <f>W44/W45</f>
        <v>0</v>
      </c>
    </row>
    <row r="47" spans="2:23">
      <c r="D47" s="17">
        <f>D46</f>
        <v>0.1711642995792485</v>
      </c>
      <c r="E47" s="17">
        <f>E46</f>
        <v>0.18147635576878635</v>
      </c>
      <c r="F47" s="17">
        <f>F46</f>
        <v>0.18825394059959416</v>
      </c>
      <c r="G47" s="17">
        <f>G46</f>
        <v>0.19509675729789966</v>
      </c>
      <c r="I47" s="17">
        <f>I46</f>
        <v>0.18825394059959416</v>
      </c>
      <c r="J47" s="17">
        <f>J46</f>
        <v>0.21204859874393239</v>
      </c>
      <c r="K47" s="17">
        <f>K46</f>
        <v>0.22016491811372144</v>
      </c>
      <c r="M47" s="17">
        <f>M46</f>
        <v>0.22016491811372144</v>
      </c>
      <c r="N47" s="17">
        <f>N46</f>
        <v>0.21147743223220342</v>
      </c>
      <c r="O47" s="17">
        <f>O46</f>
        <v>0.20309999921371941</v>
      </c>
      <c r="Q47" s="17">
        <f>Q46</f>
        <v>0.17102064092515229</v>
      </c>
      <c r="R47" s="17">
        <f>R46</f>
        <v>0.2120486317957872</v>
      </c>
      <c r="S47" s="17">
        <f>S46</f>
        <v>0</v>
      </c>
      <c r="U47" s="17">
        <f>U46</f>
        <v>0</v>
      </c>
      <c r="V47" s="17">
        <f>V46</f>
        <v>0</v>
      </c>
      <c r="W47" s="17">
        <f>W46</f>
        <v>0</v>
      </c>
    </row>
    <row r="67" spans="3:3" ht="13">
      <c r="C67" s="18"/>
    </row>
    <row r="68" spans="3:3" ht="13">
      <c r="C68" s="18"/>
    </row>
    <row r="69" spans="3:3" ht="13">
      <c r="C69" s="18"/>
    </row>
    <row r="70" spans="3:3" ht="13">
      <c r="C70" s="18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54"/>
  <sheetViews>
    <sheetView zoomScale="70" zoomScaleNormal="70" workbookViewId="0">
      <selection activeCell="AF60" sqref="AF60"/>
    </sheetView>
  </sheetViews>
  <sheetFormatPr defaultColWidth="11.54296875" defaultRowHeight="12.5"/>
  <cols>
    <col min="1" max="1" width="6.54296875" customWidth="1"/>
    <col min="2" max="2" width="30.7265625" customWidth="1"/>
    <col min="3" max="3" width="5.26953125" customWidth="1"/>
    <col min="4" max="4" width="14.81640625" customWidth="1"/>
    <col min="5" max="5" width="14.1796875" customWidth="1"/>
    <col min="6" max="6" width="13.7265625" customWidth="1"/>
    <col min="7" max="7" width="14.453125" customWidth="1"/>
    <col min="8" max="8" width="2" customWidth="1"/>
    <col min="9" max="9" width="14.453125" customWidth="1"/>
    <col min="10" max="10" width="14.1796875" customWidth="1"/>
    <col min="11" max="11" width="14" customWidth="1"/>
    <col min="12" max="12" width="13.7265625" customWidth="1"/>
    <col min="13" max="13" width="2" customWidth="1"/>
    <col min="14" max="15" width="14" customWidth="1"/>
    <col min="16" max="16" width="14.26953125" customWidth="1"/>
    <col min="17" max="17" width="13.54296875" customWidth="1"/>
    <col min="18" max="18" width="2" customWidth="1"/>
    <col min="19" max="19" width="13" customWidth="1"/>
    <col min="20" max="20" width="14" customWidth="1"/>
    <col min="21" max="22" width="13.54296875" customWidth="1"/>
  </cols>
  <sheetData>
    <row r="2" spans="1:22" ht="13">
      <c r="A2" s="19"/>
      <c r="B2" s="20" t="s">
        <v>39</v>
      </c>
      <c r="C2" s="20"/>
      <c r="D2" s="8" t="s">
        <v>40</v>
      </c>
      <c r="E2" s="8" t="s">
        <v>40</v>
      </c>
      <c r="F2" s="8" t="s">
        <v>40</v>
      </c>
      <c r="G2" s="8" t="s">
        <v>40</v>
      </c>
      <c r="H2" s="2"/>
      <c r="I2" s="8" t="s">
        <v>41</v>
      </c>
      <c r="J2" s="8" t="s">
        <v>41</v>
      </c>
      <c r="K2" s="8" t="s">
        <v>41</v>
      </c>
      <c r="L2" s="8" t="s">
        <v>41</v>
      </c>
      <c r="N2" s="9" t="s">
        <v>42</v>
      </c>
      <c r="O2" s="9" t="s">
        <v>42</v>
      </c>
      <c r="P2" s="9" t="s">
        <v>42</v>
      </c>
      <c r="Q2" s="9" t="s">
        <v>42</v>
      </c>
      <c r="S2" s="8" t="s">
        <v>43</v>
      </c>
      <c r="T2" s="8" t="s">
        <v>43</v>
      </c>
      <c r="U2" s="8" t="s">
        <v>43</v>
      </c>
      <c r="V2" s="8" t="s">
        <v>43</v>
      </c>
    </row>
    <row r="3" spans="1:22">
      <c r="A3" s="21" t="s">
        <v>44</v>
      </c>
      <c r="B3" s="20" t="s">
        <v>45</v>
      </c>
      <c r="C3" s="20"/>
      <c r="D3">
        <f>20*101325</f>
        <v>2026500</v>
      </c>
      <c r="E3">
        <f>20*101325</f>
        <v>2026500</v>
      </c>
      <c r="F3">
        <f>20*101325</f>
        <v>2026500</v>
      </c>
      <c r="G3">
        <f>20*101325</f>
        <v>2026500</v>
      </c>
      <c r="I3">
        <f>20*101325</f>
        <v>2026500</v>
      </c>
      <c r="J3">
        <f>20*101325</f>
        <v>2026500</v>
      </c>
      <c r="K3">
        <f>20*101325</f>
        <v>2026500</v>
      </c>
      <c r="L3">
        <f>20*101325</f>
        <v>2026500</v>
      </c>
      <c r="N3">
        <f>20*101325</f>
        <v>2026500</v>
      </c>
      <c r="O3">
        <f>20*101325</f>
        <v>2026500</v>
      </c>
      <c r="P3">
        <f>20*101325</f>
        <v>2026500</v>
      </c>
      <c r="Q3">
        <f>20*101325</f>
        <v>2026500</v>
      </c>
      <c r="S3">
        <f>20*101325</f>
        <v>2026500</v>
      </c>
      <c r="T3">
        <f>20*101325</f>
        <v>2026500</v>
      </c>
      <c r="U3">
        <f>20*101325</f>
        <v>2026500</v>
      </c>
      <c r="V3">
        <f>20*101325</f>
        <v>2026500</v>
      </c>
    </row>
    <row r="4" spans="1:22">
      <c r="A4" s="21" t="s">
        <v>46</v>
      </c>
      <c r="B4" s="20" t="s">
        <v>47</v>
      </c>
      <c r="C4" s="20"/>
      <c r="D4">
        <v>10</v>
      </c>
      <c r="E4">
        <v>10</v>
      </c>
      <c r="F4">
        <v>10</v>
      </c>
      <c r="G4">
        <v>10</v>
      </c>
      <c r="I4">
        <v>10</v>
      </c>
      <c r="J4">
        <v>10</v>
      </c>
      <c r="K4">
        <v>10</v>
      </c>
      <c r="L4">
        <v>10</v>
      </c>
      <c r="N4">
        <v>10</v>
      </c>
      <c r="O4">
        <v>10</v>
      </c>
      <c r="P4">
        <v>10</v>
      </c>
      <c r="Q4">
        <v>10</v>
      </c>
      <c r="S4">
        <v>10</v>
      </c>
      <c r="T4">
        <v>10</v>
      </c>
      <c r="U4">
        <v>10</v>
      </c>
      <c r="V4">
        <v>10</v>
      </c>
    </row>
    <row r="5" spans="1:22">
      <c r="A5" s="21" t="s">
        <v>46</v>
      </c>
    </row>
    <row r="6" spans="1:22" ht="13">
      <c r="A6" s="21" t="s">
        <v>48</v>
      </c>
      <c r="B6" s="22" t="s">
        <v>49</v>
      </c>
      <c r="C6" s="22"/>
    </row>
    <row r="7" spans="1:22" ht="15.5">
      <c r="A7" s="21"/>
      <c r="B7" s="20" t="s">
        <v>50</v>
      </c>
      <c r="C7" s="20"/>
      <c r="D7">
        <v>2</v>
      </c>
      <c r="E7">
        <v>2</v>
      </c>
      <c r="F7">
        <v>2</v>
      </c>
      <c r="G7">
        <v>2</v>
      </c>
      <c r="I7">
        <v>2</v>
      </c>
      <c r="J7">
        <v>2</v>
      </c>
      <c r="K7">
        <v>2</v>
      </c>
      <c r="L7">
        <v>2</v>
      </c>
      <c r="N7">
        <v>2</v>
      </c>
      <c r="O7">
        <v>2</v>
      </c>
      <c r="P7">
        <v>2</v>
      </c>
      <c r="Q7">
        <v>2</v>
      </c>
      <c r="S7">
        <v>2</v>
      </c>
      <c r="T7">
        <v>2</v>
      </c>
      <c r="U7">
        <v>2</v>
      </c>
      <c r="V7">
        <v>2</v>
      </c>
    </row>
    <row r="8" spans="1:22" ht="15.5">
      <c r="A8" s="23" t="s">
        <v>51</v>
      </c>
      <c r="B8" s="20" t="s">
        <v>6</v>
      </c>
      <c r="C8" s="20"/>
      <c r="D8">
        <f>D7/(1+D7)</f>
        <v>0.66666666666666663</v>
      </c>
      <c r="E8">
        <f>E7/(1+E7)</f>
        <v>0.66666666666666663</v>
      </c>
      <c r="F8">
        <f>F7/(1+F7)</f>
        <v>0.66666666666666663</v>
      </c>
      <c r="G8">
        <f>G7/(1+G7)</f>
        <v>0.66666666666666663</v>
      </c>
      <c r="I8">
        <f>I7/(1+I7)</f>
        <v>0.66666666666666663</v>
      </c>
      <c r="J8">
        <f>J7/(1+J7)</f>
        <v>0.66666666666666663</v>
      </c>
      <c r="K8">
        <f>K7/(1+K7)</f>
        <v>0.66666666666666663</v>
      </c>
      <c r="L8">
        <f>L7/(1+L7)</f>
        <v>0.66666666666666663</v>
      </c>
      <c r="N8">
        <f>N7/(1+N7)</f>
        <v>0.66666666666666663</v>
      </c>
      <c r="O8">
        <f>O7/(1+O7)</f>
        <v>0.66666666666666663</v>
      </c>
      <c r="P8">
        <f>P7/(1+P7)</f>
        <v>0.66666666666666663</v>
      </c>
      <c r="Q8">
        <f>Q7/(1+Q7)</f>
        <v>0.66666666666666663</v>
      </c>
      <c r="S8">
        <f>S7/(1+S7)</f>
        <v>0.66666666666666663</v>
      </c>
      <c r="T8">
        <f>T7/(1+T7)</f>
        <v>0.66666666666666663</v>
      </c>
      <c r="U8">
        <f>U7/(1+U7)</f>
        <v>0.66666666666666663</v>
      </c>
      <c r="V8">
        <f>V7/(1+V7)</f>
        <v>0.66666666666666663</v>
      </c>
    </row>
    <row r="9" spans="1:22">
      <c r="A9" s="24"/>
      <c r="B9" s="20" t="s">
        <v>7</v>
      </c>
      <c r="C9" s="20"/>
      <c r="D9">
        <f>1/(1+D7)</f>
        <v>0.33333333333333331</v>
      </c>
      <c r="E9">
        <f>1/(1+E7)</f>
        <v>0.33333333333333331</v>
      </c>
      <c r="F9">
        <f>1/(1+F7)</f>
        <v>0.33333333333333331</v>
      </c>
      <c r="G9">
        <f>1/(1+G7)</f>
        <v>0.33333333333333331</v>
      </c>
      <c r="I9">
        <f>1/(1+I7)</f>
        <v>0.33333333333333331</v>
      </c>
      <c r="J9">
        <f>1/(1+J7)</f>
        <v>0.33333333333333331</v>
      </c>
      <c r="K9">
        <f>1/(1+K7)</f>
        <v>0.33333333333333331</v>
      </c>
      <c r="L9">
        <f>1/(1+L7)</f>
        <v>0.33333333333333331</v>
      </c>
      <c r="N9">
        <f>1/(1+N7)</f>
        <v>0.33333333333333331</v>
      </c>
      <c r="O9">
        <f>1/(1+O7)</f>
        <v>0.33333333333333331</v>
      </c>
      <c r="P9">
        <f>1/(1+P7)</f>
        <v>0.33333333333333331</v>
      </c>
      <c r="Q9">
        <f>1/(1+Q7)</f>
        <v>0.33333333333333331</v>
      </c>
      <c r="S9">
        <f>1/(1+S7)</f>
        <v>0.33333333333333331</v>
      </c>
      <c r="T9">
        <f>1/(1+T7)</f>
        <v>0.33333333333333331</v>
      </c>
      <c r="U9">
        <f>1/(1+U7)</f>
        <v>0.33333333333333331</v>
      </c>
      <c r="V9">
        <f>1/(1+V7)</f>
        <v>0.33333333333333331</v>
      </c>
    </row>
    <row r="10" spans="1:22" ht="15.5">
      <c r="B10" s="20" t="s">
        <v>52</v>
      </c>
      <c r="D10">
        <f>D4*D9</f>
        <v>3.333333333333333</v>
      </c>
      <c r="E10">
        <f>E4*E9</f>
        <v>3.333333333333333</v>
      </c>
      <c r="F10">
        <f>F4*F9</f>
        <v>3.333333333333333</v>
      </c>
      <c r="G10">
        <f>G4*G9</f>
        <v>3.333333333333333</v>
      </c>
      <c r="H10" s="2"/>
      <c r="I10">
        <f>I4*I9</f>
        <v>3.333333333333333</v>
      </c>
      <c r="J10">
        <f>J4*J9</f>
        <v>3.333333333333333</v>
      </c>
      <c r="K10">
        <f>K4*K9</f>
        <v>3.333333333333333</v>
      </c>
      <c r="L10">
        <f>L4*L9</f>
        <v>3.333333333333333</v>
      </c>
      <c r="N10">
        <f>N4*N9</f>
        <v>3.333333333333333</v>
      </c>
      <c r="O10">
        <f>O4*O9</f>
        <v>3.333333333333333</v>
      </c>
      <c r="P10">
        <f>P4*P9</f>
        <v>3.333333333333333</v>
      </c>
      <c r="Q10">
        <f>Q4*Q9</f>
        <v>3.333333333333333</v>
      </c>
      <c r="S10">
        <f>S4*S9</f>
        <v>3.333333333333333</v>
      </c>
      <c r="T10">
        <f>T4*T9</f>
        <v>3.333333333333333</v>
      </c>
      <c r="U10">
        <f>U4*U9</f>
        <v>3.333333333333333</v>
      </c>
      <c r="V10">
        <f>V4*V9</f>
        <v>3.333333333333333</v>
      </c>
    </row>
    <row r="11" spans="1:22">
      <c r="E11" s="2"/>
      <c r="F11" s="2"/>
      <c r="G11" s="2"/>
      <c r="H11" s="2"/>
      <c r="I11" s="2"/>
      <c r="J11" s="2"/>
      <c r="K11" s="2"/>
      <c r="L11" s="2"/>
      <c r="N11" s="2"/>
      <c r="O11" s="2"/>
      <c r="P11" s="2"/>
      <c r="Q11" s="2"/>
      <c r="S11" s="2"/>
      <c r="T11" s="2"/>
      <c r="U11" s="2"/>
      <c r="V11" s="2"/>
    </row>
    <row r="12" spans="1:22" ht="13">
      <c r="B12" s="20" t="s">
        <v>9</v>
      </c>
      <c r="C12" s="20"/>
      <c r="D12" s="8" t="s">
        <v>10</v>
      </c>
      <c r="E12" s="8" t="s">
        <v>11</v>
      </c>
      <c r="F12" s="8" t="s">
        <v>12</v>
      </c>
      <c r="G12" s="8" t="s">
        <v>13</v>
      </c>
      <c r="H12" s="2"/>
      <c r="I12" s="8" t="s">
        <v>10</v>
      </c>
      <c r="J12" s="8" t="s">
        <v>11</v>
      </c>
      <c r="K12" s="8" t="s">
        <v>12</v>
      </c>
      <c r="L12" s="8" t="s">
        <v>13</v>
      </c>
      <c r="N12" s="8" t="s">
        <v>10</v>
      </c>
      <c r="O12" s="9" t="s">
        <v>11</v>
      </c>
      <c r="P12" s="8" t="s">
        <v>12</v>
      </c>
      <c r="Q12" s="8" t="s">
        <v>13</v>
      </c>
      <c r="S12" s="8" t="s">
        <v>10</v>
      </c>
      <c r="T12" s="8" t="s">
        <v>11</v>
      </c>
      <c r="U12" s="8" t="s">
        <v>12</v>
      </c>
      <c r="V12" s="8" t="s">
        <v>13</v>
      </c>
    </row>
    <row r="13" spans="1:22"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2"/>
      <c r="S13" s="2"/>
      <c r="T13" s="2"/>
      <c r="U13" s="2"/>
      <c r="V13" s="2"/>
    </row>
    <row r="14" spans="1:22" ht="13">
      <c r="A14" s="19"/>
      <c r="B14" s="22" t="s">
        <v>53</v>
      </c>
      <c r="C14" s="22"/>
      <c r="D14" s="8"/>
      <c r="E14" s="8"/>
      <c r="F14" s="8"/>
      <c r="G14" s="8"/>
      <c r="H14" s="2"/>
      <c r="I14" s="8"/>
      <c r="J14" s="8"/>
      <c r="K14" s="8"/>
      <c r="L14" s="8"/>
      <c r="N14" s="8"/>
      <c r="O14" s="8"/>
      <c r="P14" s="8"/>
      <c r="Q14" s="8"/>
      <c r="S14" s="8"/>
      <c r="T14" s="8"/>
      <c r="U14" s="8"/>
      <c r="V14" s="8"/>
    </row>
    <row r="15" spans="1:22" ht="15.5">
      <c r="A15" s="21" t="s">
        <v>54</v>
      </c>
      <c r="B15" s="20" t="s">
        <v>55</v>
      </c>
      <c r="C15" s="20"/>
      <c r="D15" s="25">
        <v>3.2536786000000002</v>
      </c>
      <c r="E15" s="25">
        <v>0.32878658999999999</v>
      </c>
      <c r="F15" s="25">
        <v>0.32689861999999997</v>
      </c>
      <c r="G15" s="25">
        <v>0.32398871000000001</v>
      </c>
      <c r="H15" s="25"/>
      <c r="I15" s="25">
        <v>2.8024821000000002</v>
      </c>
      <c r="J15" s="25">
        <v>2.4520488999999999</v>
      </c>
      <c r="K15" s="25">
        <v>2.1059190000000001</v>
      </c>
      <c r="L15" s="25">
        <v>1.5997322</v>
      </c>
      <c r="M15" s="26"/>
      <c r="N15" s="25">
        <v>0.81177986000000002</v>
      </c>
      <c r="O15" s="25">
        <v>0.12251455</v>
      </c>
      <c r="P15" s="25">
        <v>0.11742951</v>
      </c>
      <c r="Q15" s="25">
        <v>0.11218478</v>
      </c>
      <c r="R15" s="26"/>
      <c r="S15" s="25">
        <v>0.11724587</v>
      </c>
      <c r="T15" s="25">
        <v>0.1040745</v>
      </c>
      <c r="U15" s="25">
        <v>9.0534444000000006E-2</v>
      </c>
      <c r="V15" s="25">
        <v>6.9664852999999999E-2</v>
      </c>
    </row>
    <row r="16" spans="1:22" ht="15.5">
      <c r="A16" s="21"/>
      <c r="B16" s="20" t="s">
        <v>56</v>
      </c>
      <c r="C16" s="20"/>
      <c r="D16" s="25">
        <v>6.5017253000000004</v>
      </c>
      <c r="E16" s="25">
        <v>0.65660489</v>
      </c>
      <c r="F16" s="25">
        <v>0.65242469999999997</v>
      </c>
      <c r="G16" s="25">
        <v>0.64598438999999996</v>
      </c>
      <c r="H16" s="25"/>
      <c r="I16" s="25">
        <v>5.5656435999999996</v>
      </c>
      <c r="J16" s="25">
        <v>4.8388537999999999</v>
      </c>
      <c r="K16" s="25">
        <v>4.1214044000000003</v>
      </c>
      <c r="L16" s="25">
        <v>3.0732024999999998</v>
      </c>
      <c r="M16" s="26"/>
      <c r="N16" s="25">
        <v>1.4309881</v>
      </c>
      <c r="O16" s="25">
        <v>4.2401805000000002E-3</v>
      </c>
      <c r="P16" s="25">
        <v>0</v>
      </c>
      <c r="Q16" s="25">
        <v>2.5570778999999998E-5</v>
      </c>
      <c r="R16" s="26"/>
      <c r="S16" s="25">
        <v>1.6410511000000002E-5</v>
      </c>
      <c r="T16" s="25">
        <v>2.4369746000000001E-5</v>
      </c>
      <c r="U16" s="25">
        <v>2.9793958000000001E-5</v>
      </c>
      <c r="V16" s="25">
        <v>0</v>
      </c>
    </row>
    <row r="17" spans="1:22" ht="15.5">
      <c r="A17" s="21" t="s">
        <v>57</v>
      </c>
      <c r="B17" s="20" t="s">
        <v>58</v>
      </c>
      <c r="C17" s="20"/>
      <c r="D17" s="25">
        <v>7.9631071999999997E-2</v>
      </c>
      <c r="E17" s="25">
        <v>1.3626668999999999E-2</v>
      </c>
      <c r="F17" s="25">
        <v>1.9277180000000001E-2</v>
      </c>
      <c r="G17" s="25">
        <v>2.7977695E-2</v>
      </c>
      <c r="H17" s="25"/>
      <c r="I17" s="25">
        <v>0.53041837999999997</v>
      </c>
      <c r="J17" s="25">
        <v>0.88005966999999996</v>
      </c>
      <c r="K17" s="25">
        <v>1.2249767</v>
      </c>
      <c r="L17" s="25">
        <v>1.728558</v>
      </c>
      <c r="M17" s="26"/>
      <c r="N17" s="25">
        <v>2.5164092999999998</v>
      </c>
      <c r="O17" s="25">
        <v>3.2015120000000001</v>
      </c>
      <c r="P17" s="25">
        <v>3.2044473</v>
      </c>
      <c r="Q17" s="25">
        <v>3.2065876000000002</v>
      </c>
      <c r="R17" s="26"/>
      <c r="S17" s="25">
        <v>3.2073708999999999</v>
      </c>
      <c r="T17" s="25">
        <v>3.2165412</v>
      </c>
      <c r="U17" s="25">
        <v>3.2266444000000001</v>
      </c>
      <c r="V17" s="25">
        <v>3.2437676999999998</v>
      </c>
    </row>
    <row r="18" spans="1:22" ht="15.5">
      <c r="A18" s="21"/>
      <c r="B18" s="20" t="s">
        <v>59</v>
      </c>
      <c r="C18" s="20"/>
      <c r="D18" s="25">
        <v>1.1834779999999999E-5</v>
      </c>
      <c r="E18" s="25">
        <v>3.3877517000000001E-6</v>
      </c>
      <c r="F18" s="25">
        <v>6.7341601000000004E-6</v>
      </c>
      <c r="G18" s="25">
        <v>1.4038709E-5</v>
      </c>
      <c r="H18" s="25"/>
      <c r="I18" s="25">
        <v>2.1642284999999999E-4</v>
      </c>
      <c r="J18" s="25">
        <v>6.1235471000000005E-4</v>
      </c>
      <c r="K18" s="25">
        <v>1.218787E-3</v>
      </c>
      <c r="L18" s="25">
        <v>2.5215419999999999E-3</v>
      </c>
      <c r="M18" s="26"/>
      <c r="N18" s="25">
        <v>2.5720474999999998E-3</v>
      </c>
      <c r="O18" s="25">
        <v>4.6533766000000001E-3</v>
      </c>
      <c r="P18" s="25">
        <v>5.7282291999999997E-3</v>
      </c>
      <c r="Q18" s="25">
        <v>7.2804795E-3</v>
      </c>
      <c r="R18" s="26"/>
      <c r="S18" s="25">
        <v>4.3582482000000004E-3</v>
      </c>
      <c r="T18" s="25">
        <v>6.3588014999999996E-3</v>
      </c>
      <c r="U18" s="25">
        <v>8.0772275000000008E-3</v>
      </c>
      <c r="V18" s="25">
        <v>9.9503674E-3</v>
      </c>
    </row>
    <row r="19" spans="1:22" ht="13">
      <c r="A19" s="21" t="s">
        <v>60</v>
      </c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5"/>
      <c r="O19" s="25"/>
      <c r="P19" s="25"/>
      <c r="Q19" s="25"/>
      <c r="R19" s="26"/>
      <c r="S19" s="25"/>
      <c r="T19" s="25"/>
      <c r="U19" s="25"/>
      <c r="V19" s="25"/>
    </row>
    <row r="20" spans="1:22" ht="15.5">
      <c r="A20" s="21"/>
      <c r="B20" s="20" t="s">
        <v>61</v>
      </c>
      <c r="C20" s="2">
        <v>5</v>
      </c>
      <c r="D20" s="25">
        <v>2.2909161000000001E-4</v>
      </c>
      <c r="E20" s="25">
        <v>4.2331389000000003E-5</v>
      </c>
      <c r="F20" s="25">
        <v>6.2996208999999996E-5</v>
      </c>
      <c r="G20" s="25">
        <v>9.6463452999999994E-5</v>
      </c>
      <c r="H20" s="25"/>
      <c r="I20" s="25">
        <v>2.3601640000000001E-3</v>
      </c>
      <c r="J20" s="25">
        <v>4.2109030000000002E-3</v>
      </c>
      <c r="K20" s="25">
        <v>6.1386443999999997E-3</v>
      </c>
      <c r="L20" s="25">
        <v>9.0675236000000003E-3</v>
      </c>
      <c r="M20" s="26"/>
      <c r="N20" s="25">
        <v>1.5490059E-2</v>
      </c>
      <c r="O20" s="25">
        <v>1.9638668000000001E-2</v>
      </c>
      <c r="P20" s="25">
        <v>1.9634922999999999E-2</v>
      </c>
      <c r="Q20" s="25">
        <v>1.9616729999999999E-2</v>
      </c>
      <c r="R20" s="26"/>
      <c r="S20" s="25">
        <v>2.1668514999999999E-2</v>
      </c>
      <c r="T20" s="25">
        <v>2.1604185000000001E-2</v>
      </c>
      <c r="U20" s="25">
        <v>2.1536799999999998E-2</v>
      </c>
      <c r="V20" s="25">
        <v>2.1432063000000001E-2</v>
      </c>
    </row>
    <row r="21" spans="1:22" ht="15.5">
      <c r="A21" s="21" t="s">
        <v>48</v>
      </c>
      <c r="B21" s="20" t="s">
        <v>62</v>
      </c>
      <c r="C21" s="2">
        <v>6</v>
      </c>
      <c r="D21" s="25">
        <v>2.1505828000000001E-4</v>
      </c>
      <c r="E21" s="25">
        <v>3.9619332000000003E-5</v>
      </c>
      <c r="F21" s="25">
        <v>5.8838824000000002E-5</v>
      </c>
      <c r="G21" s="25">
        <v>8.9894305000000005E-5</v>
      </c>
      <c r="H21" s="25"/>
      <c r="I21" s="25">
        <v>2.1730717000000002E-3</v>
      </c>
      <c r="J21" s="25">
        <v>3.8621394999999998E-3</v>
      </c>
      <c r="K21" s="25">
        <v>5.6157745999999998E-3</v>
      </c>
      <c r="L21" s="25">
        <v>8.2735732000000003E-3</v>
      </c>
      <c r="M21" s="26"/>
      <c r="N21" s="25">
        <v>1.3991852000000001E-2</v>
      </c>
      <c r="O21" s="25">
        <v>1.7744747000000002E-2</v>
      </c>
      <c r="P21" s="25">
        <v>1.7741963999999999E-2</v>
      </c>
      <c r="Q21" s="25">
        <v>1.7726287E-2</v>
      </c>
      <c r="R21" s="26"/>
      <c r="S21" s="25">
        <v>1.9439498E-2</v>
      </c>
      <c r="T21" s="25">
        <v>1.93843E-2</v>
      </c>
      <c r="U21" s="25">
        <v>1.9326576000000002E-2</v>
      </c>
      <c r="V21" s="25">
        <v>1.9237098000000001E-2</v>
      </c>
    </row>
    <row r="22" spans="1:22" ht="15.5">
      <c r="A22" s="21"/>
      <c r="B22" s="20" t="s">
        <v>63</v>
      </c>
      <c r="C22" s="2">
        <v>7</v>
      </c>
      <c r="D22" s="25">
        <v>2.0188851E-4</v>
      </c>
      <c r="E22" s="25">
        <v>3.7081873000000001E-5</v>
      </c>
      <c r="F22" s="25">
        <v>5.4957170999999997E-5</v>
      </c>
      <c r="G22" s="25">
        <v>8.3774787000000001E-5</v>
      </c>
      <c r="H22" s="25"/>
      <c r="I22" s="25">
        <v>2.0008876E-3</v>
      </c>
      <c r="J22" s="25">
        <v>3.5424116999999999E-3</v>
      </c>
      <c r="K22" s="25">
        <v>5.1376690999999997E-3</v>
      </c>
      <c r="L22" s="25">
        <v>7.5494828E-3</v>
      </c>
      <c r="M22" s="26"/>
      <c r="N22" s="25">
        <v>1.2639166E-2</v>
      </c>
      <c r="O22" s="25">
        <v>1.6034196000000001E-2</v>
      </c>
      <c r="P22" s="25">
        <v>1.6032252E-2</v>
      </c>
      <c r="Q22" s="25">
        <v>1.6018817000000001E-2</v>
      </c>
      <c r="R22" s="26"/>
      <c r="S22" s="25">
        <v>1.7440812E-2</v>
      </c>
      <c r="T22" s="25">
        <v>1.7393711999999999E-2</v>
      </c>
      <c r="U22" s="25">
        <v>1.7344551E-2</v>
      </c>
      <c r="V22" s="25">
        <v>1.7268584E-2</v>
      </c>
    </row>
    <row r="23" spans="1:22" ht="15.5">
      <c r="A23" s="21" t="s">
        <v>64</v>
      </c>
      <c r="B23" s="20" t="s">
        <v>65</v>
      </c>
      <c r="C23" s="2">
        <v>8</v>
      </c>
      <c r="D23" s="25">
        <v>1.8952893E-4</v>
      </c>
      <c r="E23" s="25">
        <v>3.4707723999999999E-5</v>
      </c>
      <c r="F23" s="25">
        <v>5.1332882000000002E-5</v>
      </c>
      <c r="G23" s="25">
        <v>7.8073985000000004E-5</v>
      </c>
      <c r="H23" s="25"/>
      <c r="I23" s="25">
        <v>1.8424184000000001E-3</v>
      </c>
      <c r="J23" s="25">
        <v>3.2492914999999998E-3</v>
      </c>
      <c r="K23" s="25">
        <v>4.7004784999999999E-3</v>
      </c>
      <c r="L23" s="25">
        <v>6.8890797E-3</v>
      </c>
      <c r="M23" s="26"/>
      <c r="N23" s="25">
        <v>1.1417816000000001E-2</v>
      </c>
      <c r="O23" s="25">
        <v>1.4489202E-2</v>
      </c>
      <c r="P23" s="25">
        <v>1.4487988E-2</v>
      </c>
      <c r="Q23" s="25">
        <v>1.4476548000000001E-2</v>
      </c>
      <c r="R23" s="26"/>
      <c r="S23" s="25">
        <v>1.5648573999999998E-2</v>
      </c>
      <c r="T23" s="25">
        <v>1.5608646E-2</v>
      </c>
      <c r="U23" s="25">
        <v>1.5567064E-2</v>
      </c>
      <c r="V23" s="25">
        <v>1.5503045E-2</v>
      </c>
    </row>
    <row r="24" spans="1:22" ht="15.5">
      <c r="A24" s="21"/>
      <c r="B24" s="20" t="s">
        <v>66</v>
      </c>
      <c r="C24" s="2">
        <v>9</v>
      </c>
      <c r="D24" s="25">
        <v>1.7792949999999999E-4</v>
      </c>
      <c r="E24" s="25">
        <v>3.2486329E-5</v>
      </c>
      <c r="F24" s="25">
        <v>4.7948816000000001E-5</v>
      </c>
      <c r="G24" s="25">
        <v>7.2763120999999999E-5</v>
      </c>
      <c r="H24" s="25"/>
      <c r="I24" s="25">
        <v>1.6965666E-3</v>
      </c>
      <c r="J24" s="25">
        <v>2.9805544E-3</v>
      </c>
      <c r="K24" s="25">
        <v>4.3006857999999997E-3</v>
      </c>
      <c r="L24" s="25">
        <v>6.2867382999999997E-3</v>
      </c>
      <c r="M24" s="26"/>
      <c r="N24" s="25">
        <v>1.0315003999999999E-2</v>
      </c>
      <c r="O24" s="25">
        <v>1.3093687999999999E-2</v>
      </c>
      <c r="P24" s="25">
        <v>1.3093107E-2</v>
      </c>
      <c r="Q24" s="25">
        <v>1.3083440999999999E-2</v>
      </c>
      <c r="R24" s="26"/>
      <c r="S24" s="25">
        <v>1.4041382E-2</v>
      </c>
      <c r="T24" s="25">
        <v>1.4007799E-2</v>
      </c>
      <c r="U24" s="25">
        <v>1.3972917E-2</v>
      </c>
      <c r="V24" s="25">
        <v>1.3919449E-2</v>
      </c>
    </row>
    <row r="25" spans="1:22" ht="15.5">
      <c r="A25" s="21" t="s">
        <v>60</v>
      </c>
      <c r="B25" s="20" t="s">
        <v>67</v>
      </c>
      <c r="C25" s="2">
        <v>10</v>
      </c>
      <c r="D25" s="25">
        <v>1.6704327E-4</v>
      </c>
      <c r="E25" s="25">
        <v>3.0407813999999999E-5</v>
      </c>
      <c r="F25" s="25">
        <v>4.4788978999999997E-5</v>
      </c>
      <c r="G25" s="25">
        <v>6.7815400000000001E-5</v>
      </c>
      <c r="H25" s="25"/>
      <c r="I25" s="25">
        <v>1.5623232000000001E-3</v>
      </c>
      <c r="J25" s="25">
        <v>2.734163E-3</v>
      </c>
      <c r="K25" s="25">
        <v>3.9350777000000002E-3</v>
      </c>
      <c r="L25" s="25">
        <v>5.7373320000000004E-3</v>
      </c>
      <c r="M25" s="26"/>
      <c r="N25" s="25">
        <v>9.3191841000000008E-3</v>
      </c>
      <c r="O25" s="25">
        <v>1.1833141E-2</v>
      </c>
      <c r="P25" s="25">
        <v>1.1833107000000001E-2</v>
      </c>
      <c r="Q25" s="25">
        <v>1.1825016000000001E-2</v>
      </c>
      <c r="R25" s="26"/>
      <c r="S25" s="25">
        <v>1.2600060999999999E-2</v>
      </c>
      <c r="T25" s="25">
        <v>1.2572083E-2</v>
      </c>
      <c r="U25" s="25">
        <v>1.2543116999999999E-2</v>
      </c>
      <c r="V25" s="25">
        <v>1.2498952000000001E-2</v>
      </c>
    </row>
    <row r="26" spans="1:22" ht="15.5">
      <c r="A26" s="21"/>
      <c r="B26" s="20" t="s">
        <v>68</v>
      </c>
      <c r="C26" s="2">
        <v>11</v>
      </c>
      <c r="D26" s="27">
        <v>1.5682620000000001E-4</v>
      </c>
      <c r="E26" s="27">
        <v>2.8462950000000002E-5</v>
      </c>
      <c r="F26" s="27">
        <v>4.1838446999999998E-5</v>
      </c>
      <c r="G26" s="27">
        <v>6.3205879E-5</v>
      </c>
      <c r="H26" s="25"/>
      <c r="I26" s="27">
        <v>1.4387597E-3</v>
      </c>
      <c r="J26" s="27">
        <v>2.5082505999999998E-3</v>
      </c>
      <c r="K26" s="27">
        <v>3.6007177E-3</v>
      </c>
      <c r="L26" s="27">
        <v>5.2361884000000003E-3</v>
      </c>
      <c r="M26" s="26"/>
      <c r="N26" s="27">
        <v>8.4199376999999995E-3</v>
      </c>
      <c r="O26" s="27">
        <v>1.0694463E-2</v>
      </c>
      <c r="P26" s="27">
        <v>1.06949E-2</v>
      </c>
      <c r="Q26" s="27">
        <v>1.0688204999999999E-2</v>
      </c>
      <c r="R26" s="26"/>
      <c r="S26" s="27">
        <v>1.1307429000000001E-2</v>
      </c>
      <c r="T26" s="27">
        <v>1.1284394999999999E-2</v>
      </c>
      <c r="U26" s="27">
        <v>1.1260643000000001E-2</v>
      </c>
      <c r="V26" s="27">
        <v>1.1224665999999999E-2</v>
      </c>
    </row>
    <row r="27" spans="1:22" ht="15">
      <c r="A27" s="21" t="s">
        <v>69</v>
      </c>
      <c r="B27" s="28" t="s">
        <v>70</v>
      </c>
      <c r="C27" s="20"/>
      <c r="D27" s="25">
        <f>SUM(D20:D26)</f>
        <v>1.3373662999999999E-3</v>
      </c>
      <c r="E27" s="25">
        <f>SUM(E20:E26)</f>
        <v>2.4509741100000004E-4</v>
      </c>
      <c r="F27" s="25">
        <f>SUM(F20:F26)</f>
        <v>3.6270132800000004E-4</v>
      </c>
      <c r="G27" s="25">
        <f>SUM(G20:G26)</f>
        <v>5.5199093E-4</v>
      </c>
      <c r="H27" s="25"/>
      <c r="I27" s="29">
        <f>SUM(I20:I26)</f>
        <v>1.30741912E-2</v>
      </c>
      <c r="J27" s="29">
        <f>SUM(J20:J26)</f>
        <v>2.3087713700000002E-2</v>
      </c>
      <c r="K27" s="29">
        <f>SUM(K20:K26)</f>
        <v>3.34290478E-2</v>
      </c>
      <c r="L27" s="29">
        <f>SUM(L20:L26)</f>
        <v>4.9039917999999995E-2</v>
      </c>
      <c r="M27" s="26"/>
      <c r="N27" s="25">
        <f>SUM(N20:N26)</f>
        <v>8.1593018800000014E-2</v>
      </c>
      <c r="O27" s="25">
        <f>SUM(O20:O26)</f>
        <v>0.10352810500000001</v>
      </c>
      <c r="P27" s="25">
        <f>SUM(P20:P26)</f>
        <v>0.10351824099999998</v>
      </c>
      <c r="Q27" s="25">
        <f>SUM(Q20:Q26)</f>
        <v>0.103435044</v>
      </c>
      <c r="R27" s="25"/>
      <c r="S27" s="25">
        <f>SUM(S20:S26)</f>
        <v>0.11214627099999999</v>
      </c>
      <c r="T27" s="25">
        <f>SUM(T20:T26)</f>
        <v>0.11185512</v>
      </c>
      <c r="U27" s="25">
        <f>SUM(U20:U26)</f>
        <v>0.11155166800000001</v>
      </c>
      <c r="V27" s="25">
        <f>SUM(V20:V26)</f>
        <v>0.11108385700000001</v>
      </c>
    </row>
    <row r="28" spans="1:22" ht="13">
      <c r="A28" s="21"/>
      <c r="B28" s="20"/>
      <c r="C28" s="20"/>
      <c r="D28" s="25"/>
      <c r="E28" s="25"/>
      <c r="F28" s="25"/>
      <c r="G28" s="25"/>
      <c r="H28" s="25"/>
      <c r="I28" s="25"/>
      <c r="J28" s="25"/>
      <c r="K28" s="25"/>
      <c r="L28" s="25"/>
      <c r="M28" s="26"/>
      <c r="N28" s="25"/>
      <c r="O28" s="25"/>
      <c r="P28" s="25"/>
      <c r="Q28" s="25"/>
      <c r="R28" s="26"/>
      <c r="S28" s="25"/>
      <c r="T28" s="25"/>
      <c r="U28" s="25"/>
      <c r="V28" s="25"/>
    </row>
    <row r="29" spans="1:22" ht="15.5">
      <c r="A29" s="23" t="s">
        <v>71</v>
      </c>
      <c r="B29" s="20" t="s">
        <v>72</v>
      </c>
      <c r="C29" s="20"/>
      <c r="D29" s="25">
        <v>4.3300476000000003E-3</v>
      </c>
      <c r="E29" s="25">
        <v>7.3336880999999999E-4</v>
      </c>
      <c r="F29" s="25">
        <v>1.0300553000000001E-3</v>
      </c>
      <c r="G29" s="25">
        <v>1.4831718E-3</v>
      </c>
      <c r="H29" s="25"/>
      <c r="I29" s="25">
        <v>2.6895705999999998E-2</v>
      </c>
      <c r="J29" s="25">
        <v>4.3993505000000002E-2</v>
      </c>
      <c r="K29" s="25">
        <v>6.0660957000000001E-2</v>
      </c>
      <c r="L29" s="25">
        <v>8.4786837000000004E-2</v>
      </c>
      <c r="M29" s="26"/>
      <c r="N29" s="25">
        <v>0.11869482000000001</v>
      </c>
      <c r="O29" s="30">
        <v>0.15122105</v>
      </c>
      <c r="P29" s="30">
        <v>0.15147541</v>
      </c>
      <c r="Q29" s="30">
        <v>0.15174445</v>
      </c>
      <c r="R29" s="26"/>
      <c r="S29" s="25">
        <v>0.14767004</v>
      </c>
      <c r="T29" s="25">
        <v>0.14850179999999999</v>
      </c>
      <c r="U29" s="25">
        <v>0.14937971</v>
      </c>
      <c r="V29" s="25">
        <v>0.15078093000000001</v>
      </c>
    </row>
    <row r="30" spans="1:22" ht="13">
      <c r="A30" s="31"/>
      <c r="B30" s="20"/>
      <c r="C30" s="20"/>
      <c r="D30" s="25"/>
      <c r="E30" s="25"/>
      <c r="F30" s="25"/>
      <c r="G30" s="25"/>
      <c r="H30" s="25"/>
      <c r="I30" s="25"/>
      <c r="J30" s="25"/>
      <c r="K30" s="25"/>
      <c r="L30" s="25"/>
      <c r="M30" s="26"/>
      <c r="N30" s="25"/>
      <c r="O30" s="25"/>
      <c r="P30" s="25"/>
      <c r="Q30" s="25"/>
      <c r="R30" s="26"/>
      <c r="S30" s="25"/>
      <c r="T30" s="25"/>
      <c r="U30" s="25"/>
      <c r="V30" s="25"/>
    </row>
    <row r="31" spans="1:22" ht="15.5">
      <c r="A31" s="32"/>
      <c r="B31" s="33" t="s">
        <v>73</v>
      </c>
      <c r="C31" s="33"/>
      <c r="D31" s="34">
        <f>SUM(D15:D18)+D27+D29</f>
        <v>9.8407142206800007</v>
      </c>
      <c r="E31" s="34">
        <f>SUM(E15:E18)+E27+E29</f>
        <v>1.0000000029726999</v>
      </c>
      <c r="F31" s="34">
        <f>SUM(F15:F18)+F27+F29</f>
        <v>0.99999999078809998</v>
      </c>
      <c r="G31" s="34">
        <f>SUM(G15:G18)+G27+G29</f>
        <v>0.99999999643900006</v>
      </c>
      <c r="H31" s="25"/>
      <c r="I31" s="34">
        <f>SUM(I15:I18)+I27+I29</f>
        <v>8.9387304000499999</v>
      </c>
      <c r="J31" s="34">
        <f>SUM(J15:J18)+J27+J29</f>
        <v>8.2386559434100004</v>
      </c>
      <c r="K31" s="34">
        <f>SUM(K15:K18)+K27+K29</f>
        <v>7.5476088918000004</v>
      </c>
      <c r="L31" s="34">
        <f>SUM(L15:L18)+L27+L29</f>
        <v>6.5378409970000009</v>
      </c>
      <c r="M31" s="26"/>
      <c r="N31" s="34">
        <f>SUM(N15:N18)+N27+N29</f>
        <v>4.9620371462999993</v>
      </c>
      <c r="O31" s="34">
        <f>SUM(O15:O18)+O27+O29</f>
        <v>3.5876692621000004</v>
      </c>
      <c r="P31" s="34">
        <f>SUM(P15:P18)+P27+P29</f>
        <v>3.5825986902000002</v>
      </c>
      <c r="Q31" s="34">
        <f>SUM(Q15:Q18)+Q27+Q29</f>
        <v>3.5812579242789999</v>
      </c>
      <c r="R31" s="26"/>
      <c r="S31" s="34">
        <f>SUM(S15:S18)+S27+S29</f>
        <v>3.5888077397109996</v>
      </c>
      <c r="T31" s="34">
        <f>SUM(T15:T18)+T27+T29</f>
        <v>3.5873557912459999</v>
      </c>
      <c r="U31" s="34">
        <f>SUM(U15:U18)+U27+U29</f>
        <v>3.586217243458</v>
      </c>
      <c r="V31" s="34">
        <f>SUM(V15:V18)+V27+V29</f>
        <v>3.5852477073999998</v>
      </c>
    </row>
    <row r="32" spans="1:22" ht="13">
      <c r="A32" s="35"/>
      <c r="B32" s="33"/>
      <c r="C32" s="33"/>
      <c r="D32" s="34"/>
      <c r="E32" s="34"/>
      <c r="F32" s="34"/>
      <c r="G32" s="34"/>
      <c r="H32" s="25"/>
      <c r="I32" s="34"/>
      <c r="J32" s="34"/>
      <c r="K32" s="34"/>
      <c r="L32" s="34"/>
      <c r="M32" s="26"/>
      <c r="N32" s="34"/>
      <c r="O32" s="34"/>
      <c r="P32" s="34"/>
      <c r="Q32" s="34"/>
      <c r="R32" s="26"/>
      <c r="S32" s="34"/>
      <c r="T32" s="34"/>
      <c r="U32" s="34"/>
      <c r="V32" s="34"/>
    </row>
    <row r="33" spans="1:22" ht="13">
      <c r="A33" s="1" t="s">
        <v>74</v>
      </c>
      <c r="B33" s="1"/>
      <c r="E33" s="36"/>
      <c r="F33" s="36"/>
      <c r="G33" s="36"/>
      <c r="H33" s="25"/>
      <c r="I33" s="36"/>
      <c r="J33" s="36"/>
      <c r="K33" s="36"/>
      <c r="L33" s="36"/>
      <c r="M33" s="26"/>
      <c r="N33" s="36"/>
      <c r="O33" s="36"/>
      <c r="P33" s="36"/>
      <c r="Q33" s="36"/>
      <c r="R33" s="26"/>
      <c r="S33" s="36"/>
      <c r="T33" s="36"/>
      <c r="U33" s="36"/>
      <c r="V33" s="36"/>
    </row>
    <row r="34" spans="1:22" ht="16.5">
      <c r="B34" s="37" t="s">
        <v>75</v>
      </c>
      <c r="D34" s="2">
        <f>(D4*D9 - D15)/(D4*D9)</f>
        <v>2.3896419999999852E-2</v>
      </c>
      <c r="E34" s="38">
        <f>(E4*E9 - E15)/(E4*E9)</f>
        <v>0.90136402299999996</v>
      </c>
      <c r="F34" s="38">
        <f>(F4*F9 - F15)/(F4*F9)</f>
        <v>0.90193041399999996</v>
      </c>
      <c r="G34" s="38">
        <f>(G4*G9 - G15)/(G4*G9)</f>
        <v>0.90280338699999996</v>
      </c>
      <c r="H34" s="25"/>
      <c r="I34" s="38">
        <f>(I4*I9 - I15)/(I4*I9)</f>
        <v>0.15925536999999987</v>
      </c>
      <c r="J34" s="38">
        <f>(J4*J9 - J15)/(J4*J9)</f>
        <v>0.26438532999999997</v>
      </c>
      <c r="K34" s="38">
        <f>(K4*K9 - K15)/(K4*K9)</f>
        <v>0.36822429999999989</v>
      </c>
      <c r="L34" s="38">
        <f>(L4*L9 - L15)/(L4*L9)</f>
        <v>0.52008033999999992</v>
      </c>
      <c r="M34" s="26"/>
      <c r="N34" s="38">
        <f>(N4*N9 - N15)/(N4*N9)</f>
        <v>0.75646604199999989</v>
      </c>
      <c r="O34" s="39">
        <f>(O4*O9 - O15)/(O4*O9)</f>
        <v>0.96324563500000004</v>
      </c>
      <c r="P34" s="40">
        <f>(P4*P9 - P15)/(P4*P9)</f>
        <v>0.964771147</v>
      </c>
      <c r="Q34" s="40">
        <f>(Q4*Q9 - Q15)/(Q4*Q9)</f>
        <v>0.96634456599999996</v>
      </c>
      <c r="R34" s="26"/>
      <c r="S34" s="38">
        <f>(S4*S9 - S15)/(S4*S9)</f>
        <v>0.96482623899999997</v>
      </c>
      <c r="T34" s="38">
        <f>(T4*T9 - T15)/(T4*T9)</f>
        <v>0.96877765000000005</v>
      </c>
      <c r="U34" s="38">
        <f>(U4*U9 - U15)/(U4*U9)</f>
        <v>0.97283966679999989</v>
      </c>
      <c r="V34" s="38">
        <f>(V4*V9 - V15)/(V4*V9)</f>
        <v>0.97910054410000003</v>
      </c>
    </row>
    <row r="35" spans="1:22" ht="13">
      <c r="D35" s="36"/>
      <c r="E35" s="36"/>
      <c r="F35" s="36"/>
      <c r="G35" s="36"/>
      <c r="H35" s="25"/>
      <c r="I35" s="36"/>
      <c r="J35" s="36"/>
      <c r="K35" s="36"/>
      <c r="L35" s="36"/>
      <c r="M35" s="26"/>
      <c r="N35" s="36"/>
      <c r="O35" s="36"/>
      <c r="P35" s="36"/>
      <c r="Q35" s="36"/>
      <c r="R35" s="26"/>
      <c r="S35" s="36"/>
      <c r="T35" s="36"/>
      <c r="U35" s="36"/>
      <c r="V35" s="36"/>
    </row>
    <row r="36" spans="1:22" ht="15.5">
      <c r="B36" t="s">
        <v>76</v>
      </c>
      <c r="D36" s="36">
        <f>D29/D27</f>
        <v>3.2377424195599969</v>
      </c>
      <c r="E36" s="36">
        <f>E29/E27</f>
        <v>2.992152414045695</v>
      </c>
      <c r="F36" s="36">
        <f>F29/F27</f>
        <v>2.8399545865462064</v>
      </c>
      <c r="G36" s="36">
        <f>G29/G27</f>
        <v>2.6869495844795854</v>
      </c>
      <c r="H36" s="25"/>
      <c r="I36" s="36">
        <f>I29/I27</f>
        <v>2.0571602165340828</v>
      </c>
      <c r="J36" s="36">
        <f>J29/J27</f>
        <v>1.9054942196376941</v>
      </c>
      <c r="K36" s="36">
        <f>K29/K27</f>
        <v>1.8146181537363442</v>
      </c>
      <c r="L36" s="36">
        <f>L29/L27</f>
        <v>1.7289351299486271</v>
      </c>
      <c r="M36" s="26"/>
      <c r="N36" s="36">
        <f>N29/N27</f>
        <v>1.4547178391688578</v>
      </c>
      <c r="O36" s="36">
        <f>O29/O27</f>
        <v>1.4606763062068988</v>
      </c>
      <c r="P36" s="36">
        <f>P29/P27</f>
        <v>1.4632726419684821</v>
      </c>
      <c r="Q36" s="36">
        <f>Q29/Q27</f>
        <v>1.467050664183021</v>
      </c>
      <c r="R36" s="26"/>
      <c r="S36" s="36">
        <f>S29/S27</f>
        <v>1.3167628195145251</v>
      </c>
      <c r="T36" s="36">
        <f>T29/T27</f>
        <v>1.3276263080313175</v>
      </c>
      <c r="U36" s="36">
        <f>U29/U27</f>
        <v>1.3391078114582742</v>
      </c>
      <c r="V36" s="36">
        <f>V29/V27</f>
        <v>1.3573613130844024</v>
      </c>
    </row>
    <row r="37" spans="1:22" ht="13">
      <c r="B37" t="s">
        <v>77</v>
      </c>
      <c r="D37" s="36"/>
      <c r="E37" s="36"/>
      <c r="F37" s="36"/>
      <c r="G37" s="36"/>
      <c r="H37" s="25"/>
      <c r="I37" s="36"/>
      <c r="J37" s="36"/>
      <c r="K37" s="36"/>
      <c r="L37" s="36"/>
      <c r="M37" s="26"/>
      <c r="N37" s="36"/>
      <c r="O37" s="36"/>
      <c r="P37" s="36"/>
      <c r="Q37" s="36"/>
      <c r="R37" s="26"/>
      <c r="S37" s="36"/>
      <c r="T37" s="36"/>
      <c r="U37" s="36"/>
      <c r="V37" s="36"/>
    </row>
    <row r="38" spans="1:22" ht="13">
      <c r="C38" s="2" t="s">
        <v>78</v>
      </c>
      <c r="D38" s="36">
        <f>5*D20+6*D21+7*D22+8*D23+9*D24+10*D25+11*D26</f>
        <v>1.0362145140000001E-2</v>
      </c>
      <c r="E38" s="36">
        <f>5*E20+6*E21+7*E22+8*E23+9*E24+10*E25+11*E26</f>
        <v>1.8961553910000002E-3</v>
      </c>
      <c r="F38" s="36">
        <f>5*F20+6*F21+7*F22+8*F23+9*F24+10*F25+11*F26</f>
        <v>2.803029293E-3</v>
      </c>
      <c r="G38" s="36">
        <f>5*G20+6*G21+7*G22+8*G23+9*G24+10*G25+11*G26</f>
        <v>4.260985242E-3</v>
      </c>
      <c r="H38" s="25"/>
      <c r="I38" s="36">
        <f>5*I20+6*I21+7*I22+8*I23+9*I24+10*I25+11*I26</f>
        <v>0.10030349870000001</v>
      </c>
      <c r="J38" s="36">
        <f>5*J20+6*J21+7*J22+8*J23+9*J24+10*J25+11*J26</f>
        <v>0.17677594209999997</v>
      </c>
      <c r="K38" s="36">
        <f>5*K20+6*K21+7*K22+8*K23+9*K24+10*K25+11*K26</f>
        <v>0.2556202252</v>
      </c>
      <c r="L38" s="36">
        <f>5*L20+6*L21+7*L22+8*L23+9*L24+10*L25+11*L26</f>
        <v>0.3744901115</v>
      </c>
      <c r="M38" s="26"/>
      <c r="N38" s="36">
        <f>5*N20+6*N21+7*N22+8*N23+9*N24+10*N25+11*N26</f>
        <v>0.61986428869999999</v>
      </c>
      <c r="O38" s="36">
        <f>5*O20+6*O21+7*O22+8*O23+9*O24+10*O25+11*O26</f>
        <v>0.78662850500000003</v>
      </c>
      <c r="P38" s="36">
        <f>5*P20+6*P21+7*P22+8*P23+9*P24+10*P25+11*P26</f>
        <v>0.78656899999999996</v>
      </c>
      <c r="Q38" s="36">
        <f>5*Q20+6*Q21+7*Q22+8*Q23+9*Q24+10*Q25+11*Q26</f>
        <v>0.78595685900000001</v>
      </c>
      <c r="R38" s="26"/>
      <c r="S38" s="36">
        <f>5*S20+6*S21+7*S22+8*S23+9*S24+10*S25+11*S26</f>
        <v>0.84900860599999994</v>
      </c>
      <c r="T38" s="36">
        <f>5*T20+6*T21+7*T22+8*T23+9*T24+10*T25+11*T26</f>
        <v>0.84687124300000005</v>
      </c>
      <c r="U38" s="36">
        <f>5*U20+6*U21+7*U22+8*U23+9*U24+10*U25+11*U26</f>
        <v>0.84464632099999992</v>
      </c>
      <c r="V38" s="36">
        <f>5*V20+6*V21+7*V22+8*V23+9*V24+10*V25+11*V26</f>
        <v>0.84122323799999998</v>
      </c>
    </row>
    <row r="39" spans="1:22" ht="13">
      <c r="A39" s="2"/>
      <c r="B39" s="22" t="s">
        <v>32</v>
      </c>
      <c r="C39" s="2" t="s">
        <v>79</v>
      </c>
      <c r="D39" s="36">
        <f>D10</f>
        <v>3.333333333333333</v>
      </c>
      <c r="E39" s="36">
        <f>E10</f>
        <v>3.333333333333333</v>
      </c>
      <c r="F39" s="36">
        <f>F10</f>
        <v>3.333333333333333</v>
      </c>
      <c r="G39" s="36">
        <f>G10</f>
        <v>3.333333333333333</v>
      </c>
      <c r="H39" s="25"/>
      <c r="I39" s="36">
        <f>I10</f>
        <v>3.333333333333333</v>
      </c>
      <c r="J39" s="36">
        <f>J10</f>
        <v>3.333333333333333</v>
      </c>
      <c r="K39" s="36">
        <f>K10</f>
        <v>3.333333333333333</v>
      </c>
      <c r="L39" s="36">
        <f>L10</f>
        <v>3.333333333333333</v>
      </c>
      <c r="M39" s="26"/>
      <c r="N39" s="36">
        <f>N10</f>
        <v>3.333333333333333</v>
      </c>
      <c r="O39" s="36">
        <f>O10</f>
        <v>3.333333333333333</v>
      </c>
      <c r="P39" s="36">
        <f>P10</f>
        <v>3.333333333333333</v>
      </c>
      <c r="Q39" s="36">
        <f>Q10</f>
        <v>3.333333333333333</v>
      </c>
      <c r="R39" s="26"/>
      <c r="S39" s="36">
        <f>S10</f>
        <v>3.333333333333333</v>
      </c>
      <c r="T39" s="36">
        <f>T10</f>
        <v>3.333333333333333</v>
      </c>
      <c r="U39" s="36">
        <f>U10</f>
        <v>3.333333333333333</v>
      </c>
      <c r="V39" s="36">
        <f>V10</f>
        <v>3.333333333333333</v>
      </c>
    </row>
    <row r="40" spans="1:22" ht="15.5">
      <c r="B40" s="2" t="s">
        <v>80</v>
      </c>
      <c r="C40" s="2" t="s">
        <v>81</v>
      </c>
      <c r="D40" s="38">
        <f>D38/D39</f>
        <v>3.1086435420000003E-3</v>
      </c>
      <c r="E40" s="38">
        <f>E38/E39</f>
        <v>5.6884661730000009E-4</v>
      </c>
      <c r="F40" s="38">
        <f>F38/F39</f>
        <v>8.4090878790000004E-4</v>
      </c>
      <c r="G40" s="38">
        <f>G38/G39</f>
        <v>1.2782955726000002E-3</v>
      </c>
      <c r="H40" s="25"/>
      <c r="I40" s="41">
        <f>I38/I39</f>
        <v>3.0091049610000004E-2</v>
      </c>
      <c r="J40" s="41">
        <f>J38/J39</f>
        <v>5.3032782629999997E-2</v>
      </c>
      <c r="K40" s="41">
        <f>K38/K39</f>
        <v>7.6686067560000001E-2</v>
      </c>
      <c r="L40" s="41">
        <f>L38/L39</f>
        <v>0.11234703345000001</v>
      </c>
      <c r="M40" s="26"/>
      <c r="N40" s="38">
        <f>N38/N39</f>
        <v>0.18595928661000002</v>
      </c>
      <c r="O40" s="42">
        <f>O38/O39</f>
        <v>0.23598855150000003</v>
      </c>
      <c r="P40" s="42">
        <f>P38/P39</f>
        <v>0.23597070000000001</v>
      </c>
      <c r="Q40" s="42">
        <f>Q38/Q39</f>
        <v>0.23578705770000002</v>
      </c>
      <c r="R40" s="25"/>
      <c r="S40" s="38">
        <f>S38/S39</f>
        <v>0.25470258179999999</v>
      </c>
      <c r="T40" s="38">
        <f>T38/T39</f>
        <v>0.25406137290000003</v>
      </c>
      <c r="U40" s="38">
        <f>U38/U39</f>
        <v>0.25339389629999998</v>
      </c>
      <c r="V40" s="38">
        <f>V38/V39</f>
        <v>0.25236697140000003</v>
      </c>
    </row>
    <row r="41" spans="1:22" ht="13">
      <c r="D41" s="36"/>
      <c r="E41" s="36"/>
      <c r="F41" s="36"/>
      <c r="G41" s="36"/>
      <c r="H41" s="25"/>
      <c r="I41" s="36"/>
      <c r="J41" s="36"/>
      <c r="K41" s="36"/>
      <c r="L41" s="36"/>
      <c r="M41" s="26"/>
      <c r="N41" s="36"/>
      <c r="O41" s="36"/>
      <c r="P41" s="36"/>
      <c r="Q41" s="36"/>
      <c r="R41" s="26"/>
      <c r="S41" s="36"/>
      <c r="T41" s="36"/>
      <c r="U41" s="36"/>
      <c r="V41" s="36"/>
    </row>
    <row r="42" spans="1:22" ht="13">
      <c r="D42" s="36"/>
      <c r="E42" s="36"/>
      <c r="F42" s="36"/>
      <c r="G42" s="36"/>
      <c r="H42" s="25"/>
      <c r="I42" s="36"/>
      <c r="J42" s="36"/>
      <c r="K42" s="36"/>
      <c r="L42" s="36"/>
      <c r="M42" s="26"/>
      <c r="N42" s="36"/>
      <c r="O42" s="36"/>
      <c r="P42" s="36"/>
      <c r="Q42" s="36"/>
      <c r="R42" s="26"/>
      <c r="S42" s="36"/>
      <c r="T42" s="36"/>
      <c r="U42" s="36"/>
      <c r="V42" s="36"/>
    </row>
    <row r="43" spans="1:22" ht="13">
      <c r="C43" s="2" t="s">
        <v>78</v>
      </c>
      <c r="D43" s="36">
        <f>D38</f>
        <v>1.0362145140000001E-2</v>
      </c>
      <c r="E43" s="36">
        <f>E38</f>
        <v>1.8961553910000002E-3</v>
      </c>
      <c r="F43" s="36">
        <f>F38</f>
        <v>2.803029293E-3</v>
      </c>
      <c r="G43" s="36">
        <f>G38</f>
        <v>4.260985242E-3</v>
      </c>
      <c r="H43" s="25"/>
      <c r="I43" s="36">
        <f>I38</f>
        <v>0.10030349870000001</v>
      </c>
      <c r="J43" s="36">
        <f>J38</f>
        <v>0.17677594209999997</v>
      </c>
      <c r="K43" s="36">
        <f>K38</f>
        <v>0.2556202252</v>
      </c>
      <c r="L43" s="36">
        <f>L38</f>
        <v>0.3744901115</v>
      </c>
      <c r="M43" s="26"/>
      <c r="N43" s="36">
        <f>N38</f>
        <v>0.61986428869999999</v>
      </c>
      <c r="O43" s="36">
        <f>O38</f>
        <v>0.78662850500000003</v>
      </c>
      <c r="P43" s="36">
        <f>P38</f>
        <v>0.78656899999999996</v>
      </c>
      <c r="Q43" s="36">
        <f>Q38</f>
        <v>0.78595685900000001</v>
      </c>
      <c r="R43" s="26"/>
      <c r="S43" s="36">
        <f>S38</f>
        <v>0.84900860599999994</v>
      </c>
      <c r="T43" s="36">
        <f>T38</f>
        <v>0.84687124300000005</v>
      </c>
      <c r="U43" s="36">
        <f>U38</f>
        <v>0.84464632099999992</v>
      </c>
      <c r="V43" s="36">
        <f>V38</f>
        <v>0.84122323799999998</v>
      </c>
    </row>
    <row r="44" spans="1:22" ht="13">
      <c r="B44" s="43" t="s">
        <v>32</v>
      </c>
      <c r="C44" s="2" t="s">
        <v>79</v>
      </c>
      <c r="D44" s="36">
        <f>D39*D34</f>
        <v>7.9654733333332839E-2</v>
      </c>
      <c r="E44" s="36">
        <f>E39*E34</f>
        <v>3.004546743333333</v>
      </c>
      <c r="F44" s="36">
        <f>F39*F34</f>
        <v>3.0064347133333329</v>
      </c>
      <c r="G44" s="36">
        <f>G39*G34</f>
        <v>3.009344623333333</v>
      </c>
      <c r="H44" s="25"/>
      <c r="I44" s="36">
        <f>I39*I34</f>
        <v>0.53085123333333284</v>
      </c>
      <c r="J44" s="36">
        <f>J39*J34</f>
        <v>0.88128443333333317</v>
      </c>
      <c r="K44" s="36">
        <f>K39*K34</f>
        <v>1.2274143333333329</v>
      </c>
      <c r="L44" s="36">
        <f>L39*L34</f>
        <v>1.733601133333333</v>
      </c>
      <c r="M44" s="26"/>
      <c r="N44" s="36">
        <f>N39*N34</f>
        <v>2.5215534733333329</v>
      </c>
      <c r="O44" s="36">
        <f>O39*O34</f>
        <v>3.210818783333333</v>
      </c>
      <c r="P44" s="36">
        <f>P39*P34</f>
        <v>3.215903823333333</v>
      </c>
      <c r="Q44" s="36">
        <f>Q39*Q34</f>
        <v>3.2211485533333328</v>
      </c>
      <c r="R44" s="26"/>
      <c r="S44" s="36">
        <f>S39*S34</f>
        <v>3.216087463333333</v>
      </c>
      <c r="T44" s="36">
        <f>T39*T34</f>
        <v>3.2292588333333332</v>
      </c>
      <c r="U44" s="36">
        <f>U39*U34</f>
        <v>3.2427988893333328</v>
      </c>
      <c r="V44" s="36">
        <f>V39*V34</f>
        <v>3.2636684803333331</v>
      </c>
    </row>
    <row r="45" spans="1:22" ht="15.5">
      <c r="B45" s="2" t="s">
        <v>82</v>
      </c>
      <c r="C45" s="2" t="s">
        <v>81</v>
      </c>
      <c r="D45" s="38">
        <f>D43/D44</f>
        <v>0.13008825347060438</v>
      </c>
      <c r="E45" s="38">
        <f>E43/E44</f>
        <v>6.3109532085240565E-4</v>
      </c>
      <c r="F45" s="38">
        <f>F43/F44</f>
        <v>9.3234331035653504E-4</v>
      </c>
      <c r="G45" s="38">
        <f>G43/G44</f>
        <v>1.415918007183994E-3</v>
      </c>
      <c r="H45" s="25"/>
      <c r="I45" s="38">
        <f>I43/I44</f>
        <v>0.18894841417278443</v>
      </c>
      <c r="J45" s="38">
        <f>J43/J44</f>
        <v>0.20058897606005599</v>
      </c>
      <c r="K45" s="38">
        <f>K43/K44</f>
        <v>0.20825911695670282</v>
      </c>
      <c r="L45" s="38">
        <f>L43/L44</f>
        <v>0.21601861252821059</v>
      </c>
      <c r="M45" s="26"/>
      <c r="N45" s="38">
        <f>N43/N44</f>
        <v>0.24582635080134904</v>
      </c>
      <c r="O45" s="38">
        <f>O43/O44</f>
        <v>0.24499311798075268</v>
      </c>
      <c r="P45" s="38">
        <f>P43/P44</f>
        <v>0.24458722748266434</v>
      </c>
      <c r="Q45" s="38">
        <f>Q43/Q44</f>
        <v>0.24399894819711754</v>
      </c>
      <c r="R45" s="25"/>
      <c r="S45" s="38">
        <f>S43/S44</f>
        <v>0.26398803380802333</v>
      </c>
      <c r="T45" s="38">
        <f>T43/T44</f>
        <v>0.26224941595215373</v>
      </c>
      <c r="U45" s="38">
        <f>U43/U44</f>
        <v>0.26046830217511441</v>
      </c>
      <c r="V45" s="38">
        <f>V43/V44</f>
        <v>0.25775388740282901</v>
      </c>
    </row>
    <row r="46" spans="1:22" ht="13">
      <c r="D46" s="36"/>
      <c r="E46" s="36"/>
      <c r="F46" s="36"/>
      <c r="G46" s="36"/>
      <c r="H46" s="25"/>
      <c r="I46" s="36"/>
      <c r="J46" s="36"/>
      <c r="K46" s="36"/>
      <c r="L46" s="36"/>
      <c r="M46" s="26"/>
      <c r="N46" s="36"/>
      <c r="O46" s="36"/>
      <c r="P46" s="36"/>
      <c r="Q46" s="36"/>
      <c r="R46" s="26"/>
      <c r="S46" s="36"/>
      <c r="T46" s="36"/>
      <c r="U46" s="36"/>
      <c r="V46" s="36"/>
    </row>
    <row r="47" spans="1:22" ht="13">
      <c r="D47" s="36"/>
      <c r="E47" s="36"/>
      <c r="F47" s="36"/>
      <c r="G47" s="36"/>
      <c r="H47" s="25"/>
      <c r="I47" s="36"/>
      <c r="J47" s="36"/>
      <c r="K47" s="36"/>
      <c r="L47" s="36"/>
      <c r="M47" s="26"/>
      <c r="N47" s="36"/>
      <c r="O47" s="36"/>
      <c r="P47" s="36"/>
      <c r="Q47" s="36"/>
      <c r="R47" s="26"/>
      <c r="S47" s="36"/>
      <c r="T47" s="36"/>
      <c r="U47" s="36"/>
      <c r="V47" s="36"/>
    </row>
    <row r="48" spans="1:22" ht="13">
      <c r="D48" s="36"/>
      <c r="E48" s="36"/>
      <c r="F48" s="36"/>
      <c r="G48" s="36"/>
      <c r="H48" s="25"/>
      <c r="I48" s="36"/>
      <c r="J48" s="36"/>
      <c r="K48" s="36"/>
      <c r="L48" s="36"/>
      <c r="M48" s="26"/>
      <c r="N48" s="36"/>
      <c r="O48" s="36"/>
      <c r="P48" s="36"/>
      <c r="Q48" s="36"/>
      <c r="R48" s="26"/>
      <c r="S48" s="36"/>
      <c r="T48" s="36"/>
      <c r="U48" s="36"/>
      <c r="V48" s="36"/>
    </row>
    <row r="52" spans="14:14" ht="23">
      <c r="N52" s="61"/>
    </row>
    <row r="54" spans="14:14" ht="13">
      <c r="N54" s="62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9"/>
  <sheetViews>
    <sheetView topLeftCell="F1" zoomScale="70" zoomScaleNormal="70" workbookViewId="0">
      <selection activeCell="AG96" sqref="AG96"/>
    </sheetView>
  </sheetViews>
  <sheetFormatPr defaultColWidth="11.54296875" defaultRowHeight="12.5"/>
  <cols>
    <col min="1" max="1" width="6.54296875" customWidth="1"/>
    <col min="2" max="2" width="30.7265625" customWidth="1"/>
    <col min="3" max="3" width="13" customWidth="1"/>
    <col min="4" max="7" width="13.7265625" customWidth="1"/>
    <col min="8" max="8" width="2" customWidth="1"/>
    <col min="9" max="14" width="14" customWidth="1"/>
    <col min="15" max="15" width="14.26953125" customWidth="1"/>
    <col min="16" max="16" width="13.54296875" customWidth="1"/>
    <col min="17" max="17" width="13.453125" customWidth="1"/>
    <col min="18" max="18" width="2" customWidth="1"/>
    <col min="19" max="22" width="13" customWidth="1"/>
  </cols>
  <sheetData>
    <row r="1" spans="1:23">
      <c r="I1" t="s">
        <v>97</v>
      </c>
    </row>
    <row r="2" spans="1:23" ht="13">
      <c r="A2" s="19"/>
      <c r="B2" s="20" t="s">
        <v>39</v>
      </c>
      <c r="C2" s="20"/>
      <c r="D2" s="8" t="s">
        <v>42</v>
      </c>
      <c r="E2" s="8" t="s">
        <v>42</v>
      </c>
      <c r="F2" s="8" t="s">
        <v>42</v>
      </c>
      <c r="G2" s="8" t="s">
        <v>42</v>
      </c>
      <c r="H2" s="2"/>
      <c r="I2" s="8" t="s">
        <v>42</v>
      </c>
      <c r="J2" s="8" t="s">
        <v>42</v>
      </c>
      <c r="K2" s="8" t="s">
        <v>42</v>
      </c>
      <c r="L2" s="8" t="s">
        <v>42</v>
      </c>
      <c r="N2" s="8" t="s">
        <v>43</v>
      </c>
      <c r="O2" s="8" t="s">
        <v>43</v>
      </c>
      <c r="P2" s="8" t="s">
        <v>43</v>
      </c>
      <c r="Q2" s="8" t="s">
        <v>43</v>
      </c>
      <c r="S2" s="8" t="s">
        <v>43</v>
      </c>
      <c r="T2" s="8" t="s">
        <v>43</v>
      </c>
      <c r="U2" s="8" t="s">
        <v>43</v>
      </c>
      <c r="V2" s="8" t="s">
        <v>43</v>
      </c>
    </row>
    <row r="3" spans="1:23">
      <c r="A3" s="21" t="s">
        <v>44</v>
      </c>
      <c r="B3" s="20" t="s">
        <v>45</v>
      </c>
      <c r="C3" s="20"/>
      <c r="D3">
        <f>10*101325</f>
        <v>1013250</v>
      </c>
      <c r="E3">
        <f>20*101325</f>
        <v>2026500</v>
      </c>
      <c r="F3">
        <f>30*101325</f>
        <v>3039750</v>
      </c>
      <c r="G3">
        <f>40*101325</f>
        <v>4053000</v>
      </c>
      <c r="I3">
        <f>10*101325</f>
        <v>1013250</v>
      </c>
      <c r="J3">
        <f>20*101325</f>
        <v>2026500</v>
      </c>
      <c r="K3">
        <f>30*101325</f>
        <v>3039750</v>
      </c>
      <c r="L3">
        <f>40*101325</f>
        <v>4053000</v>
      </c>
      <c r="N3">
        <f>10*101325</f>
        <v>1013250</v>
      </c>
      <c r="O3">
        <f>20*101325</f>
        <v>2026500</v>
      </c>
      <c r="P3">
        <f>30*101325</f>
        <v>3039750</v>
      </c>
      <c r="Q3">
        <f>40*101325</f>
        <v>4053000</v>
      </c>
      <c r="S3">
        <f>10*101325</f>
        <v>1013250</v>
      </c>
      <c r="T3">
        <f>20*101325</f>
        <v>2026500</v>
      </c>
      <c r="U3">
        <f>30*101325</f>
        <v>3039750</v>
      </c>
      <c r="V3">
        <f>40*101325</f>
        <v>4053000</v>
      </c>
    </row>
    <row r="4" spans="1:23">
      <c r="A4" s="21" t="s">
        <v>46</v>
      </c>
      <c r="B4" s="20" t="s">
        <v>47</v>
      </c>
      <c r="C4" s="20"/>
      <c r="D4">
        <v>10</v>
      </c>
      <c r="E4">
        <v>10</v>
      </c>
      <c r="F4">
        <v>10</v>
      </c>
      <c r="G4">
        <v>10</v>
      </c>
      <c r="I4">
        <v>10</v>
      </c>
      <c r="J4">
        <v>10</v>
      </c>
      <c r="K4">
        <v>10</v>
      </c>
      <c r="L4">
        <v>10</v>
      </c>
      <c r="N4">
        <v>10</v>
      </c>
      <c r="O4">
        <v>10</v>
      </c>
      <c r="P4">
        <v>10</v>
      </c>
      <c r="Q4">
        <v>10</v>
      </c>
      <c r="S4">
        <v>10</v>
      </c>
      <c r="T4">
        <v>10</v>
      </c>
      <c r="U4">
        <v>10</v>
      </c>
      <c r="V4">
        <v>10</v>
      </c>
    </row>
    <row r="5" spans="1:23">
      <c r="A5" s="21" t="s">
        <v>46</v>
      </c>
    </row>
    <row r="6" spans="1:23" ht="13">
      <c r="A6" s="21" t="s">
        <v>48</v>
      </c>
      <c r="B6" s="22" t="s">
        <v>49</v>
      </c>
      <c r="C6" s="22"/>
    </row>
    <row r="7" spans="1:23" ht="15.5">
      <c r="A7" s="21"/>
      <c r="B7" s="20" t="s">
        <v>50</v>
      </c>
      <c r="C7" s="20"/>
      <c r="D7">
        <v>2</v>
      </c>
      <c r="E7">
        <v>2</v>
      </c>
      <c r="F7">
        <v>2</v>
      </c>
      <c r="G7">
        <v>2</v>
      </c>
      <c r="I7">
        <v>2</v>
      </c>
      <c r="J7">
        <v>2</v>
      </c>
      <c r="K7">
        <v>2</v>
      </c>
      <c r="L7">
        <v>2</v>
      </c>
      <c r="N7">
        <v>2</v>
      </c>
      <c r="O7">
        <v>2</v>
      </c>
      <c r="P7">
        <v>2</v>
      </c>
      <c r="Q7">
        <v>2</v>
      </c>
      <c r="S7">
        <v>2</v>
      </c>
      <c r="T7">
        <v>2</v>
      </c>
      <c r="U7">
        <v>2</v>
      </c>
      <c r="V7">
        <v>2</v>
      </c>
    </row>
    <row r="8" spans="1:23" ht="15.5">
      <c r="A8" s="23" t="s">
        <v>51</v>
      </c>
      <c r="B8" s="20" t="s">
        <v>6</v>
      </c>
      <c r="C8" s="20"/>
      <c r="D8">
        <f>D7/(1+D7)</f>
        <v>0.66666666666666663</v>
      </c>
      <c r="E8">
        <f>E7/(1+E7)</f>
        <v>0.66666666666666663</v>
      </c>
      <c r="F8">
        <f>F7/(1+F7)</f>
        <v>0.66666666666666663</v>
      </c>
      <c r="G8">
        <f>G7/(1+G7)</f>
        <v>0.66666666666666663</v>
      </c>
      <c r="I8">
        <f>I7/(1+I7)</f>
        <v>0.66666666666666663</v>
      </c>
      <c r="J8">
        <f>J7/(1+J7)</f>
        <v>0.66666666666666663</v>
      </c>
      <c r="K8">
        <f>K7/(1+K7)</f>
        <v>0.66666666666666663</v>
      </c>
      <c r="L8">
        <f>L7/(1+L7)</f>
        <v>0.66666666666666663</v>
      </c>
      <c r="N8">
        <f>N7/(1+N7)</f>
        <v>0.66666666666666663</v>
      </c>
      <c r="O8">
        <f>O7/(1+O7)</f>
        <v>0.66666666666666663</v>
      </c>
      <c r="P8">
        <f>P7/(1+P7)</f>
        <v>0.66666666666666663</v>
      </c>
      <c r="Q8">
        <f>Q7/(1+Q7)</f>
        <v>0.66666666666666663</v>
      </c>
      <c r="S8">
        <f>S7/(1+S7)</f>
        <v>0.66666666666666663</v>
      </c>
      <c r="T8">
        <f>T7/(1+T7)</f>
        <v>0.66666666666666663</v>
      </c>
      <c r="U8">
        <f>U7/(1+U7)</f>
        <v>0.66666666666666663</v>
      </c>
      <c r="V8">
        <f>V7/(1+V7)</f>
        <v>0.66666666666666663</v>
      </c>
    </row>
    <row r="9" spans="1:23">
      <c r="A9" s="24"/>
      <c r="B9" s="20" t="s">
        <v>7</v>
      </c>
      <c r="C9" s="20"/>
      <c r="D9">
        <f>1/(1+D7)</f>
        <v>0.33333333333333331</v>
      </c>
      <c r="E9">
        <f>1/(1+E7)</f>
        <v>0.33333333333333331</v>
      </c>
      <c r="F9">
        <f>1/(1+F7)</f>
        <v>0.33333333333333331</v>
      </c>
      <c r="G9">
        <f>1/(1+G7)</f>
        <v>0.33333333333333331</v>
      </c>
      <c r="I9">
        <f>1/(1+I7)</f>
        <v>0.33333333333333331</v>
      </c>
      <c r="J9">
        <f>1/(1+J7)</f>
        <v>0.33333333333333331</v>
      </c>
      <c r="K9">
        <f>1/(1+K7)</f>
        <v>0.33333333333333331</v>
      </c>
      <c r="L9">
        <f>1/(1+L7)</f>
        <v>0.33333333333333331</v>
      </c>
      <c r="N9">
        <f>1/(1+N7)</f>
        <v>0.33333333333333331</v>
      </c>
      <c r="O9">
        <f>1/(1+O7)</f>
        <v>0.33333333333333331</v>
      </c>
      <c r="P9">
        <f>1/(1+P7)</f>
        <v>0.33333333333333331</v>
      </c>
      <c r="Q9">
        <f>1/(1+Q7)</f>
        <v>0.33333333333333331</v>
      </c>
      <c r="S9">
        <f>1/(1+S7)</f>
        <v>0.33333333333333331</v>
      </c>
      <c r="T9">
        <f>1/(1+T7)</f>
        <v>0.33333333333333331</v>
      </c>
      <c r="U9">
        <f>1/(1+U7)</f>
        <v>0.33333333333333331</v>
      </c>
      <c r="V9">
        <f>1/(1+V7)</f>
        <v>0.33333333333333331</v>
      </c>
    </row>
    <row r="10" spans="1:23" ht="15.5">
      <c r="B10" s="20" t="s">
        <v>52</v>
      </c>
      <c r="D10">
        <f>D4*D9</f>
        <v>3.333333333333333</v>
      </c>
      <c r="E10">
        <f>E4*E9</f>
        <v>3.333333333333333</v>
      </c>
      <c r="F10">
        <f>F4*F9</f>
        <v>3.333333333333333</v>
      </c>
      <c r="G10">
        <f>G4*G9</f>
        <v>3.333333333333333</v>
      </c>
      <c r="H10" s="2"/>
      <c r="I10">
        <f>I4*I9</f>
        <v>3.333333333333333</v>
      </c>
      <c r="J10">
        <f>J4*J9</f>
        <v>3.333333333333333</v>
      </c>
      <c r="K10">
        <f>K4*K9</f>
        <v>3.333333333333333</v>
      </c>
      <c r="L10">
        <f>L4*L9</f>
        <v>3.333333333333333</v>
      </c>
      <c r="N10">
        <f>N4*N9</f>
        <v>3.333333333333333</v>
      </c>
      <c r="O10">
        <f>O4*O9</f>
        <v>3.333333333333333</v>
      </c>
      <c r="P10">
        <f>P4*P9</f>
        <v>3.333333333333333</v>
      </c>
      <c r="Q10">
        <f>Q4*Q9</f>
        <v>3.333333333333333</v>
      </c>
      <c r="S10">
        <f>S4*S9</f>
        <v>3.333333333333333</v>
      </c>
      <c r="T10">
        <f>T4*T9</f>
        <v>3.333333333333333</v>
      </c>
      <c r="U10">
        <f>U4*U9</f>
        <v>3.333333333333333</v>
      </c>
      <c r="V10">
        <f>V4*V9</f>
        <v>3.333333333333333</v>
      </c>
    </row>
    <row r="11" spans="1:23">
      <c r="E11" s="2"/>
      <c r="F11" s="2"/>
      <c r="G11" s="2"/>
      <c r="H11" s="2"/>
      <c r="I11" s="2"/>
      <c r="J11" s="2"/>
      <c r="K11" s="2"/>
      <c r="L11" s="2"/>
      <c r="N11" s="2"/>
      <c r="O11" s="2"/>
      <c r="P11" s="2"/>
      <c r="Q11" s="2"/>
      <c r="S11" s="2"/>
      <c r="T11" s="2"/>
      <c r="U11" s="2"/>
      <c r="V11" s="2"/>
    </row>
    <row r="12" spans="1:23" ht="13">
      <c r="B12" s="20" t="s">
        <v>9</v>
      </c>
      <c r="C12" s="20"/>
      <c r="D12" s="8" t="s">
        <v>11</v>
      </c>
      <c r="E12" s="8" t="s">
        <v>11</v>
      </c>
      <c r="F12" s="8" t="s">
        <v>11</v>
      </c>
      <c r="G12" s="8" t="s">
        <v>11</v>
      </c>
      <c r="H12" s="2"/>
      <c r="I12" s="8" t="s">
        <v>12</v>
      </c>
      <c r="J12" s="8" t="s">
        <v>12</v>
      </c>
      <c r="K12" s="8" t="s">
        <v>12</v>
      </c>
      <c r="L12" s="8" t="s">
        <v>12</v>
      </c>
      <c r="N12" s="8" t="s">
        <v>11</v>
      </c>
      <c r="O12" s="8" t="s">
        <v>11</v>
      </c>
      <c r="P12" s="8" t="s">
        <v>11</v>
      </c>
      <c r="Q12" s="8" t="s">
        <v>11</v>
      </c>
      <c r="S12" s="8" t="s">
        <v>12</v>
      </c>
      <c r="T12" s="8" t="s">
        <v>12</v>
      </c>
      <c r="U12" s="8" t="s">
        <v>12</v>
      </c>
      <c r="V12" s="8" t="s">
        <v>12</v>
      </c>
    </row>
    <row r="13" spans="1:23"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2"/>
      <c r="S13" s="2"/>
      <c r="T13" s="2"/>
      <c r="U13" s="2"/>
      <c r="V13" s="2"/>
    </row>
    <row r="14" spans="1:23" ht="13">
      <c r="A14" s="44"/>
      <c r="B14" s="22" t="s">
        <v>53</v>
      </c>
      <c r="C14" s="22"/>
      <c r="D14" s="8"/>
      <c r="E14" s="8"/>
      <c r="F14" s="8"/>
      <c r="G14" s="8"/>
      <c r="H14" s="11"/>
      <c r="I14" s="8"/>
      <c r="J14" s="8"/>
      <c r="K14" s="8"/>
      <c r="L14" s="8"/>
      <c r="M14" s="45"/>
      <c r="N14" s="8"/>
      <c r="O14" s="8"/>
      <c r="P14" s="8"/>
      <c r="Q14" s="8"/>
      <c r="R14" s="45"/>
      <c r="S14" s="8"/>
      <c r="T14" s="8"/>
      <c r="U14" s="8"/>
      <c r="V14" s="8"/>
      <c r="W14" s="45"/>
    </row>
    <row r="15" spans="1:23" ht="15.5">
      <c r="A15" s="21" t="s">
        <v>54</v>
      </c>
      <c r="B15" s="20" t="s">
        <v>55</v>
      </c>
      <c r="C15" s="20"/>
      <c r="D15" s="46">
        <v>0.13106448000000001</v>
      </c>
      <c r="E15" s="46">
        <v>0.12250751</v>
      </c>
      <c r="F15" s="46">
        <v>0.12473769</v>
      </c>
      <c r="G15" s="46">
        <v>0.13245135999999999</v>
      </c>
      <c r="H15" s="47"/>
      <c r="I15" s="46">
        <v>0.11913253</v>
      </c>
      <c r="J15" s="46">
        <v>0.11729355</v>
      </c>
      <c r="K15" s="46">
        <v>0.11002120999999999</v>
      </c>
      <c r="L15" s="46">
        <v>9.8526718999999999E-2</v>
      </c>
      <c r="M15" s="48"/>
      <c r="N15" s="46">
        <v>0.11398990000000001</v>
      </c>
      <c r="O15" s="46">
        <v>0.10377366</v>
      </c>
      <c r="P15" s="46">
        <v>9.1124753000000003E-2</v>
      </c>
      <c r="Q15" s="46">
        <v>7.6689610000000005E-2</v>
      </c>
      <c r="R15" s="48"/>
      <c r="S15" s="46">
        <v>0.10703732000000001</v>
      </c>
      <c r="T15" s="46">
        <v>8.9979802999999997E-2</v>
      </c>
      <c r="U15" s="46">
        <v>7.1889142000000003E-2</v>
      </c>
      <c r="V15" s="46">
        <v>5.5319902999999997E-2</v>
      </c>
      <c r="W15" s="45"/>
    </row>
    <row r="16" spans="1:23" ht="15.5">
      <c r="A16" s="21"/>
      <c r="B16" s="20" t="s">
        <v>56</v>
      </c>
      <c r="C16" s="20"/>
      <c r="D16" s="46">
        <v>2.2551709999999999E-2</v>
      </c>
      <c r="E16" s="46">
        <v>4.3743365000000001E-3</v>
      </c>
      <c r="F16" s="46">
        <v>1.9902309999999999E-2</v>
      </c>
      <c r="G16" s="46">
        <v>5.5769975999999999E-2</v>
      </c>
      <c r="H16" s="47"/>
      <c r="I16" s="46">
        <v>0</v>
      </c>
      <c r="J16" s="46">
        <v>0</v>
      </c>
      <c r="K16" s="46">
        <v>0</v>
      </c>
      <c r="L16" s="46">
        <v>0</v>
      </c>
      <c r="M16" s="48"/>
      <c r="N16" s="49">
        <v>6.8765057000000001E-6</v>
      </c>
      <c r="O16" s="49">
        <v>2.4946254999999999E-5</v>
      </c>
      <c r="P16" s="46">
        <v>0</v>
      </c>
      <c r="Q16" s="46">
        <v>0</v>
      </c>
      <c r="R16" s="48"/>
      <c r="S16" s="46">
        <v>0</v>
      </c>
      <c r="T16" s="49">
        <v>3.0401947999999999E-5</v>
      </c>
      <c r="U16" s="46">
        <v>0</v>
      </c>
      <c r="V16" s="49">
        <v>7.4954464000000004E-5</v>
      </c>
      <c r="W16" s="45"/>
    </row>
    <row r="17" spans="1:23" ht="15.5">
      <c r="A17" s="21" t="s">
        <v>57</v>
      </c>
      <c r="B17" s="20" t="s">
        <v>58</v>
      </c>
      <c r="C17" s="20"/>
      <c r="D17" s="46">
        <v>3.1998096</v>
      </c>
      <c r="E17" s="46">
        <v>3.201273</v>
      </c>
      <c r="F17" s="46">
        <v>3.1872218000000001</v>
      </c>
      <c r="G17" s="46">
        <v>3.1631401000000001</v>
      </c>
      <c r="H17" s="47"/>
      <c r="I17" s="46">
        <v>3.2111806999999999</v>
      </c>
      <c r="J17" s="46">
        <v>3.2042820999999999</v>
      </c>
      <c r="K17" s="46">
        <v>3.1972307</v>
      </c>
      <c r="L17" s="46">
        <v>3.1893623999999998</v>
      </c>
      <c r="M17" s="48"/>
      <c r="N17" s="46">
        <v>3.2159631000000002</v>
      </c>
      <c r="O17" s="46">
        <v>3.2165146</v>
      </c>
      <c r="P17" s="46">
        <v>3.2140102000000002</v>
      </c>
      <c r="Q17" s="46">
        <v>3.2093360999999998</v>
      </c>
      <c r="R17" s="48"/>
      <c r="S17" s="46">
        <v>3.2218912</v>
      </c>
      <c r="T17" s="46">
        <v>3.2268086</v>
      </c>
      <c r="U17" s="46">
        <v>3.22695</v>
      </c>
      <c r="V17" s="46">
        <v>3.2220651</v>
      </c>
      <c r="W17" s="45"/>
    </row>
    <row r="18" spans="1:23" ht="15.5">
      <c r="A18" s="21"/>
      <c r="B18" s="20" t="s">
        <v>59</v>
      </c>
      <c r="C18" s="20"/>
      <c r="D18" s="46">
        <v>1.2295940000000001E-3</v>
      </c>
      <c r="E18" s="46">
        <v>4.7763872000000001E-3</v>
      </c>
      <c r="F18" s="46">
        <v>1.0686884000000001E-2</v>
      </c>
      <c r="G18" s="46">
        <v>1.8870913999999999E-2</v>
      </c>
      <c r="H18" s="47"/>
      <c r="I18" s="46">
        <v>1.5100109999999999E-3</v>
      </c>
      <c r="J18" s="46">
        <v>5.8788306999999996E-3</v>
      </c>
      <c r="K18" s="46">
        <v>1.304071E-2</v>
      </c>
      <c r="L18" s="46">
        <v>2.2722102000000001E-2</v>
      </c>
      <c r="M18" s="48"/>
      <c r="N18" s="46">
        <v>1.6901581E-3</v>
      </c>
      <c r="O18" s="46">
        <v>6.5225383999999997E-3</v>
      </c>
      <c r="P18" s="46">
        <v>1.4099178E-2</v>
      </c>
      <c r="Q18" s="46">
        <v>2.3653819E-2</v>
      </c>
      <c r="R18" s="48"/>
      <c r="S18" s="46">
        <v>2.2023721999999998E-3</v>
      </c>
      <c r="T18" s="46">
        <v>8.2724719999999995E-3</v>
      </c>
      <c r="U18" s="46">
        <v>1.7247085999999998E-2</v>
      </c>
      <c r="V18" s="46">
        <v>2.7974128000000001E-2</v>
      </c>
      <c r="W18" s="45"/>
    </row>
    <row r="19" spans="1:23">
      <c r="A19" s="21" t="s">
        <v>60</v>
      </c>
      <c r="B19" s="45"/>
      <c r="C19" s="45"/>
      <c r="D19" s="47"/>
      <c r="E19" s="47"/>
      <c r="F19" s="47"/>
      <c r="G19" s="47"/>
      <c r="H19" s="47"/>
      <c r="I19" s="47"/>
      <c r="J19" s="47"/>
      <c r="K19" s="47"/>
      <c r="L19" s="47"/>
      <c r="M19" s="48"/>
      <c r="N19" s="47"/>
      <c r="O19" s="47"/>
      <c r="P19" s="47"/>
      <c r="Q19" s="47"/>
      <c r="R19" s="48"/>
      <c r="S19" s="47"/>
      <c r="T19" s="47"/>
      <c r="U19" s="47"/>
      <c r="V19" s="47"/>
      <c r="W19" s="45"/>
    </row>
    <row r="20" spans="1:23" ht="15.5">
      <c r="A20" s="21"/>
      <c r="B20" s="20" t="s">
        <v>61</v>
      </c>
      <c r="C20" s="11">
        <v>5</v>
      </c>
      <c r="D20" s="46">
        <v>1.5077594999999999E-2</v>
      </c>
      <c r="E20" s="46">
        <v>1.9735150999999999E-2</v>
      </c>
      <c r="F20" s="46">
        <v>2.2846040000000001E-2</v>
      </c>
      <c r="G20" s="46">
        <v>2.5167478E-2</v>
      </c>
      <c r="H20" s="47"/>
      <c r="I20" s="46">
        <v>1.5106056E-2</v>
      </c>
      <c r="J20" s="46">
        <v>1.9731851000000002E-2</v>
      </c>
      <c r="K20" s="46">
        <v>2.2888828E-2</v>
      </c>
      <c r="L20" s="46">
        <v>2.5327213000000001E-2</v>
      </c>
      <c r="M20" s="48"/>
      <c r="N20" s="46">
        <v>1.6710031E-2</v>
      </c>
      <c r="O20" s="46">
        <v>2.1708854999999999E-2</v>
      </c>
      <c r="P20" s="46">
        <v>2.5118728999999999E-2</v>
      </c>
      <c r="Q20" s="46">
        <v>2.7750502999999999E-2</v>
      </c>
      <c r="R20" s="48"/>
      <c r="S20" s="46">
        <v>1.6647647000000002E-2</v>
      </c>
      <c r="T20" s="46">
        <v>2.1642222999999999E-2</v>
      </c>
      <c r="U20" s="46">
        <v>2.5066459999999999E-2</v>
      </c>
      <c r="V20" s="46">
        <v>2.7702493000000002E-2</v>
      </c>
      <c r="W20" s="45"/>
    </row>
    <row r="21" spans="1:23" ht="15.5">
      <c r="A21" s="21" t="s">
        <v>48</v>
      </c>
      <c r="B21" s="20" t="s">
        <v>62</v>
      </c>
      <c r="C21" s="11">
        <v>6</v>
      </c>
      <c r="D21" s="46">
        <v>1.3842719999999999E-2</v>
      </c>
      <c r="E21" s="46">
        <v>1.7825943E-2</v>
      </c>
      <c r="F21" s="46">
        <v>2.0412983999999999E-2</v>
      </c>
      <c r="G21" s="46">
        <v>2.2300243000000001E-2</v>
      </c>
      <c r="H21" s="47"/>
      <c r="I21" s="46">
        <v>1.3869635E-2</v>
      </c>
      <c r="J21" s="46">
        <v>1.7823571999999999E-2</v>
      </c>
      <c r="K21" s="46">
        <v>2.0452597999999999E-2</v>
      </c>
      <c r="L21" s="46">
        <v>2.2445177E-2</v>
      </c>
      <c r="M21" s="48"/>
      <c r="N21" s="46">
        <v>1.5251165000000001E-2</v>
      </c>
      <c r="O21" s="46">
        <v>1.9471235999999999E-2</v>
      </c>
      <c r="P21" s="46">
        <v>2.2270208E-2</v>
      </c>
      <c r="Q21" s="46">
        <v>2.4386358E-2</v>
      </c>
      <c r="R21" s="48"/>
      <c r="S21" s="46">
        <v>1.5196081E-2</v>
      </c>
      <c r="T21" s="46">
        <v>1.9414238E-2</v>
      </c>
      <c r="U21" s="46">
        <v>2.2227376E-2</v>
      </c>
      <c r="V21" s="46">
        <v>2.4348108E-2</v>
      </c>
      <c r="W21" s="45"/>
    </row>
    <row r="22" spans="1:23" ht="15.5">
      <c r="A22" s="21"/>
      <c r="B22" s="20" t="s">
        <v>63</v>
      </c>
      <c r="C22" s="11">
        <v>7</v>
      </c>
      <c r="D22" s="46">
        <v>1.2709379E-2</v>
      </c>
      <c r="E22" s="46">
        <v>1.6102165000000002E-2</v>
      </c>
      <c r="F22" s="46">
        <v>1.8240052E-2</v>
      </c>
      <c r="G22" s="46">
        <v>1.9760906000000002E-2</v>
      </c>
      <c r="H22" s="47"/>
      <c r="I22" s="46">
        <v>1.2734828E-2</v>
      </c>
      <c r="J22" s="46">
        <v>1.6100603000000002E-2</v>
      </c>
      <c r="K22" s="46">
        <v>1.8276733E-2</v>
      </c>
      <c r="L22" s="46">
        <v>1.9892429999999999E-2</v>
      </c>
      <c r="M22" s="48"/>
      <c r="N22" s="46">
        <v>1.3920322000000001E-2</v>
      </c>
      <c r="O22" s="46">
        <v>1.7465469000000001E-2</v>
      </c>
      <c r="P22" s="46">
        <v>1.9746377999999998E-2</v>
      </c>
      <c r="Q22" s="46">
        <v>2.1432099999999999E-2</v>
      </c>
      <c r="R22" s="48"/>
      <c r="S22" s="46">
        <v>1.3871826E-2</v>
      </c>
      <c r="T22" s="46">
        <v>1.7417004E-2</v>
      </c>
      <c r="U22" s="46">
        <v>1.9711759999999998E-2</v>
      </c>
      <c r="V22" s="46">
        <v>2.1402253E-2</v>
      </c>
      <c r="W22" s="45"/>
    </row>
    <row r="23" spans="1:23" ht="15.5">
      <c r="A23" s="21" t="s">
        <v>64</v>
      </c>
      <c r="B23" s="20" t="s">
        <v>65</v>
      </c>
      <c r="C23" s="11">
        <v>8</v>
      </c>
      <c r="D23" s="46">
        <v>1.1669196999999999E-2</v>
      </c>
      <c r="E23" s="46">
        <v>1.4545749E-2</v>
      </c>
      <c r="F23" s="46">
        <v>1.6299345E-2</v>
      </c>
      <c r="G23" s="46">
        <v>1.7511848999999999E-2</v>
      </c>
      <c r="H23" s="47"/>
      <c r="I23" s="46">
        <v>1.1693255E-2</v>
      </c>
      <c r="J23" s="46">
        <v>1.4544888000000001E-2</v>
      </c>
      <c r="K23" s="46">
        <v>1.6333314000000002E-2</v>
      </c>
      <c r="L23" s="46">
        <v>1.7631221999999998E-2</v>
      </c>
      <c r="M23" s="48"/>
      <c r="N23" s="46">
        <v>1.2706222E-2</v>
      </c>
      <c r="O23" s="46">
        <v>1.5667437999999999E-2</v>
      </c>
      <c r="P23" s="46">
        <v>1.7510090999999998E-2</v>
      </c>
      <c r="Q23" s="46">
        <v>1.8837610000000001E-2</v>
      </c>
      <c r="R23" s="48"/>
      <c r="S23" s="46">
        <v>1.2663667E-2</v>
      </c>
      <c r="T23" s="46">
        <v>1.5626522E-2</v>
      </c>
      <c r="U23" s="46">
        <v>1.7482610999999999E-2</v>
      </c>
      <c r="V23" s="46">
        <v>1.8814978E-2</v>
      </c>
      <c r="W23" s="45"/>
    </row>
    <row r="24" spans="1:23" ht="15.5">
      <c r="A24" s="21"/>
      <c r="B24" s="20" t="s">
        <v>66</v>
      </c>
      <c r="C24" s="11">
        <v>9</v>
      </c>
      <c r="D24" s="46">
        <v>1.071449E-2</v>
      </c>
      <c r="E24" s="46">
        <v>1.314039E-2</v>
      </c>
      <c r="F24" s="46">
        <v>1.4565961000000001E-2</v>
      </c>
      <c r="G24" s="46">
        <v>1.5519781999999999E-2</v>
      </c>
      <c r="H24" s="47"/>
      <c r="I24" s="46">
        <v>1.073723E-2</v>
      </c>
      <c r="J24" s="46">
        <v>1.3140136E-2</v>
      </c>
      <c r="K24" s="46">
        <v>1.4597426E-2</v>
      </c>
      <c r="L24" s="46">
        <v>1.5628145999999999E-2</v>
      </c>
      <c r="M24" s="48"/>
      <c r="N24" s="46">
        <v>1.1598584E-2</v>
      </c>
      <c r="O24" s="46">
        <v>1.4055543E-2</v>
      </c>
      <c r="P24" s="46">
        <v>1.5528462999999999E-2</v>
      </c>
      <c r="Q24" s="46">
        <v>1.6558910999999999E-2</v>
      </c>
      <c r="R24" s="48"/>
      <c r="S24" s="46">
        <v>1.1561381000000001E-2</v>
      </c>
      <c r="T24" s="46">
        <v>1.4021297E-2</v>
      </c>
      <c r="U24" s="46">
        <v>1.5507172E-2</v>
      </c>
      <c r="V24" s="46">
        <v>1.6542457999999999E-2</v>
      </c>
      <c r="W24" s="45"/>
    </row>
    <row r="25" spans="1:23" ht="15.5">
      <c r="A25" s="21" t="s">
        <v>60</v>
      </c>
      <c r="B25" s="20" t="s">
        <v>67</v>
      </c>
      <c r="C25" s="11">
        <v>10</v>
      </c>
      <c r="D25" s="46">
        <v>9.83821E-3</v>
      </c>
      <c r="E25" s="46">
        <v>1.1871378E-2</v>
      </c>
      <c r="F25" s="46">
        <v>1.3017678E-2</v>
      </c>
      <c r="G25" s="46">
        <v>1.3755244E-2</v>
      </c>
      <c r="H25" s="47"/>
      <c r="I25" s="46">
        <v>9.8597011999999994E-3</v>
      </c>
      <c r="J25" s="46">
        <v>1.1871646E-2</v>
      </c>
      <c r="K25" s="46">
        <v>1.3046828999999999E-2</v>
      </c>
      <c r="L25" s="46">
        <v>1.3853631E-2</v>
      </c>
      <c r="M25" s="48"/>
      <c r="N25" s="46">
        <v>1.0588034E-2</v>
      </c>
      <c r="O25" s="46">
        <v>1.2610440000000001E-2</v>
      </c>
      <c r="P25" s="46">
        <v>1.3772382E-2</v>
      </c>
      <c r="Q25" s="46">
        <v>1.4557419E-2</v>
      </c>
      <c r="R25" s="48"/>
      <c r="S25" s="46">
        <v>1.0555648000000001E-2</v>
      </c>
      <c r="T25" s="46">
        <v>1.2582077000000001E-2</v>
      </c>
      <c r="U25" s="46">
        <v>1.3756444E-2</v>
      </c>
      <c r="V25" s="46">
        <v>1.4546241999999999E-2</v>
      </c>
      <c r="W25" s="45"/>
    </row>
    <row r="26" spans="1:23" ht="15.5">
      <c r="A26" s="21"/>
      <c r="B26" s="20" t="s">
        <v>68</v>
      </c>
      <c r="C26" s="11">
        <v>11</v>
      </c>
      <c r="D26" s="46">
        <v>9.0338924999999997E-3</v>
      </c>
      <c r="E26" s="46">
        <v>1.0725438E-2</v>
      </c>
      <c r="F26" s="46">
        <v>1.1634663E-2</v>
      </c>
      <c r="G26" s="46">
        <v>1.2192161E-2</v>
      </c>
      <c r="H26" s="47"/>
      <c r="I26" s="46">
        <v>9.0542004000000002E-3</v>
      </c>
      <c r="J26" s="46">
        <v>1.0726153E-2</v>
      </c>
      <c r="K26" s="46">
        <v>1.1661675999999999E-2</v>
      </c>
      <c r="L26" s="46">
        <v>1.2281507000000001E-2</v>
      </c>
      <c r="M26" s="48"/>
      <c r="N26" s="46">
        <v>9.666025E-3</v>
      </c>
      <c r="O26" s="46">
        <v>1.1314797E-2</v>
      </c>
      <c r="P26" s="46">
        <v>1.2216072999999999E-2</v>
      </c>
      <c r="Q26" s="46">
        <v>1.279928E-2</v>
      </c>
      <c r="R26" s="48"/>
      <c r="S26" s="46">
        <v>9.6379706000000002E-3</v>
      </c>
      <c r="T26" s="46">
        <v>1.1291615E-2</v>
      </c>
      <c r="U26" s="46">
        <v>1.2204753E-2</v>
      </c>
      <c r="V26" s="46">
        <v>1.2792589E-2</v>
      </c>
      <c r="W26" s="45"/>
    </row>
    <row r="27" spans="1:23" ht="15">
      <c r="A27" s="21" t="s">
        <v>69</v>
      </c>
      <c r="B27" s="28" t="s">
        <v>70</v>
      </c>
      <c r="C27" s="20"/>
      <c r="D27" s="47">
        <f>SUM(D20:D26)</f>
        <v>8.2885483499999996E-2</v>
      </c>
      <c r="E27" s="47">
        <f>SUM(E20:E26)</f>
        <v>0.10394621400000001</v>
      </c>
      <c r="F27" s="47">
        <f>SUM(F20:F26)</f>
        <v>0.11701672300000002</v>
      </c>
      <c r="G27" s="47">
        <f>SUM(G20:G26)</f>
        <v>0.126207663</v>
      </c>
      <c r="H27" s="47"/>
      <c r="I27" s="47">
        <f>SUM(I20:I26)</f>
        <v>8.3054905600000006E-2</v>
      </c>
      <c r="J27" s="47">
        <f>SUM(J20:J26)</f>
        <v>0.10393884900000001</v>
      </c>
      <c r="K27" s="47">
        <f>SUM(K20:K26)</f>
        <v>0.117257404</v>
      </c>
      <c r="L27" s="47">
        <f>SUM(L20:L26)</f>
        <v>0.127059326</v>
      </c>
      <c r="M27" s="48"/>
      <c r="N27" s="47">
        <f>SUM(N20:N26)</f>
        <v>9.0440382999999985E-2</v>
      </c>
      <c r="O27" s="47">
        <f>SUM(O20:O26)</f>
        <v>0.112293778</v>
      </c>
      <c r="P27" s="47">
        <f>SUM(P20:P26)</f>
        <v>0.12616232399999999</v>
      </c>
      <c r="Q27" s="47">
        <f>SUM(Q20:Q26)</f>
        <v>0.13632218100000001</v>
      </c>
      <c r="R27" s="47"/>
      <c r="S27" s="47">
        <f>SUM(S20:S26)</f>
        <v>9.0134220600000009E-2</v>
      </c>
      <c r="T27" s="47">
        <f>SUM(T20:T26)</f>
        <v>0.11199497600000001</v>
      </c>
      <c r="U27" s="47">
        <f>SUM(U20:U26)</f>
        <v>0.12595657600000001</v>
      </c>
      <c r="V27" s="47">
        <f>SUM(V20:V26)</f>
        <v>0.13614912099999998</v>
      </c>
      <c r="W27" s="45"/>
    </row>
    <row r="28" spans="1:23">
      <c r="A28" s="21"/>
      <c r="B28" s="20"/>
      <c r="C28" s="20"/>
      <c r="D28" s="47"/>
      <c r="E28" s="47"/>
      <c r="F28" s="47"/>
      <c r="G28" s="47"/>
      <c r="H28" s="47"/>
      <c r="I28" s="47"/>
      <c r="J28" s="47"/>
      <c r="K28" s="47"/>
      <c r="L28" s="47"/>
      <c r="M28" s="48"/>
      <c r="N28" s="47"/>
      <c r="O28" s="47"/>
      <c r="P28" s="47"/>
      <c r="Q28" s="47"/>
      <c r="R28" s="48"/>
      <c r="S28" s="47"/>
      <c r="T28" s="47"/>
      <c r="U28" s="47"/>
      <c r="V28" s="47"/>
      <c r="W28" s="45"/>
    </row>
    <row r="29" spans="1:23" ht="15.5">
      <c r="A29" s="23" t="s">
        <v>71</v>
      </c>
      <c r="B29" s="20" t="s">
        <v>72</v>
      </c>
      <c r="C29" s="20"/>
      <c r="D29" s="46">
        <v>0.16038065000000001</v>
      </c>
      <c r="E29" s="46">
        <v>0.15102372999999999</v>
      </c>
      <c r="F29" s="46">
        <v>0.14461710999999999</v>
      </c>
      <c r="G29" s="46">
        <v>0.13953792000000001</v>
      </c>
      <c r="H29" s="47"/>
      <c r="I29" s="46">
        <v>0.16102653</v>
      </c>
      <c r="J29" s="46">
        <v>0.15128322</v>
      </c>
      <c r="K29" s="46">
        <v>0.14527403</v>
      </c>
      <c r="L29" s="46">
        <v>0.14101215</v>
      </c>
      <c r="M29" s="48"/>
      <c r="N29" s="46">
        <v>0.15793188999999999</v>
      </c>
      <c r="O29" s="50">
        <v>0.14831253999999999</v>
      </c>
      <c r="P29" s="50">
        <v>0.14242077</v>
      </c>
      <c r="Q29" s="50">
        <v>0.13823732</v>
      </c>
      <c r="R29" s="48"/>
      <c r="S29" s="46">
        <v>0.15847750999999999</v>
      </c>
      <c r="T29" s="46">
        <v>0.14920206999999999</v>
      </c>
      <c r="U29" s="46">
        <v>0.14351725000000001</v>
      </c>
      <c r="V29" s="46">
        <v>0.13937747</v>
      </c>
      <c r="W29" s="45"/>
    </row>
    <row r="30" spans="1:23">
      <c r="A30" s="51"/>
      <c r="B30" s="20"/>
      <c r="C30" s="20"/>
      <c r="D30" s="47"/>
      <c r="E30" s="47"/>
      <c r="F30" s="47"/>
      <c r="G30" s="47"/>
      <c r="H30" s="47"/>
      <c r="I30" s="47"/>
      <c r="J30" s="47"/>
      <c r="K30" s="47"/>
      <c r="L30" s="47"/>
      <c r="M30" s="48"/>
      <c r="N30" s="47"/>
      <c r="O30" s="47"/>
      <c r="P30" s="47"/>
      <c r="Q30" s="47"/>
      <c r="R30" s="48"/>
      <c r="S30" s="47"/>
      <c r="T30" s="47"/>
      <c r="U30" s="47"/>
      <c r="V30" s="47"/>
      <c r="W30" s="45"/>
    </row>
    <row r="31" spans="1:23" ht="15.5">
      <c r="A31" s="32"/>
      <c r="B31" s="33" t="s">
        <v>73</v>
      </c>
      <c r="C31" s="33"/>
      <c r="D31" s="52">
        <f>SUM(D15:D18)+D27+D29</f>
        <v>3.5979215175000001</v>
      </c>
      <c r="E31" s="52">
        <f>SUM(E15:E18)+E27+E29</f>
        <v>3.5879011777000001</v>
      </c>
      <c r="F31" s="52">
        <f>SUM(F15:F18)+F27+F29</f>
        <v>3.6041825169999999</v>
      </c>
      <c r="G31" s="52">
        <f>SUM(G15:G18)+G27+G29</f>
        <v>3.6359779329999999</v>
      </c>
      <c r="H31" s="47"/>
      <c r="I31" s="52">
        <f>SUM(I15:I18)+I27+I29</f>
        <v>3.5759046766</v>
      </c>
      <c r="J31" s="52">
        <f>SUM(J15:J18)+J27+J29</f>
        <v>3.5826765496999995</v>
      </c>
      <c r="K31" s="52">
        <f>SUM(K15:K18)+K27+K29</f>
        <v>3.582824054</v>
      </c>
      <c r="L31" s="52">
        <f>SUM(L15:L18)+L27+L29</f>
        <v>3.5786826969999996</v>
      </c>
      <c r="M31" s="48"/>
      <c r="N31" s="52">
        <f>SUM(N15:N18)+N27+N29</f>
        <v>3.5800223076057001</v>
      </c>
      <c r="O31" s="52">
        <f>SUM(O15:O18)+O27+O29</f>
        <v>3.5874420626550001</v>
      </c>
      <c r="P31" s="52">
        <f>SUM(P15:P18)+P27+P29</f>
        <v>3.5878172250000002</v>
      </c>
      <c r="Q31" s="52">
        <f>SUM(Q15:Q18)+Q27+Q29</f>
        <v>3.58423903</v>
      </c>
      <c r="R31" s="48"/>
      <c r="S31" s="52">
        <f>SUM(S15:S18)+S27+S29</f>
        <v>3.5797426228</v>
      </c>
      <c r="T31" s="52">
        <f>SUM(T15:T18)+T27+T29</f>
        <v>3.5862883229479996</v>
      </c>
      <c r="U31" s="52">
        <f>SUM(U15:U18)+U27+U29</f>
        <v>3.5855600539999997</v>
      </c>
      <c r="V31" s="52">
        <f>SUM(V15:V18)+V27+V29</f>
        <v>3.5809606764639996</v>
      </c>
      <c r="W31" s="45"/>
    </row>
    <row r="32" spans="1:23" ht="13">
      <c r="A32" s="35"/>
      <c r="B32" s="33"/>
      <c r="C32" s="33"/>
      <c r="D32" s="52"/>
      <c r="E32" s="52"/>
      <c r="F32" s="52"/>
      <c r="G32" s="52"/>
      <c r="H32" s="47"/>
      <c r="I32" s="52"/>
      <c r="J32" s="52"/>
      <c r="K32" s="52"/>
      <c r="L32" s="52"/>
      <c r="M32" s="48"/>
      <c r="N32" s="52"/>
      <c r="O32" s="52"/>
      <c r="P32" s="52"/>
      <c r="Q32" s="52"/>
      <c r="R32" s="48"/>
      <c r="S32" s="52"/>
      <c r="T32" s="52"/>
      <c r="U32" s="52"/>
      <c r="V32" s="52"/>
      <c r="W32" s="45"/>
    </row>
    <row r="33" spans="1:23" ht="13">
      <c r="A33" s="1" t="s">
        <v>74</v>
      </c>
      <c r="B33" s="1"/>
      <c r="C33" s="45"/>
      <c r="D33" s="45"/>
      <c r="E33" s="53"/>
      <c r="F33" s="53"/>
      <c r="G33" s="53"/>
      <c r="H33" s="47"/>
      <c r="I33" s="53"/>
      <c r="J33" s="53"/>
      <c r="K33" s="53"/>
      <c r="L33" s="53"/>
      <c r="M33" s="48"/>
      <c r="N33" s="53"/>
      <c r="O33" s="53"/>
      <c r="P33" s="53"/>
      <c r="Q33" s="53"/>
      <c r="R33" s="48"/>
      <c r="S33" s="53"/>
      <c r="T33" s="53"/>
      <c r="U33" s="53"/>
      <c r="V33" s="53"/>
      <c r="W33" s="45"/>
    </row>
    <row r="34" spans="1:23" ht="15.5">
      <c r="A34" s="45"/>
      <c r="B34" s="20" t="s">
        <v>83</v>
      </c>
      <c r="C34" s="45"/>
      <c r="D34" s="54">
        <f>(D4*D9 - D15)/(D4*D9)</f>
        <v>0.96068065599999997</v>
      </c>
      <c r="E34" s="54">
        <f>(E4*E9 - E15)/(E4*E9)</f>
        <v>0.96324774699999993</v>
      </c>
      <c r="F34" s="54">
        <f>(F4*F9 - F15)/(F4*F9)</f>
        <v>0.96257869299999999</v>
      </c>
      <c r="G34" s="54">
        <f>(G4*G9 - G15)/(G4*G9)</f>
        <v>0.96026459199999992</v>
      </c>
      <c r="H34" s="47"/>
      <c r="I34" s="54">
        <f>(I4*I9 - I15)/(I4*I9)</f>
        <v>0.96426024100000007</v>
      </c>
      <c r="J34" s="54">
        <f>(J4*J9 - J15)/(J4*J9)</f>
        <v>0.96481193500000006</v>
      </c>
      <c r="K34" s="54">
        <f>(K4*K9 - K15)/(K4*K9)</f>
        <v>0.96699363699999996</v>
      </c>
      <c r="L34" s="54">
        <f>(L4*L9 - L15)/(L4*L9)</f>
        <v>0.97044198429999995</v>
      </c>
      <c r="M34" s="48"/>
      <c r="N34" s="54">
        <f>(N4*N9 - N15)/(N4*N9)</f>
        <v>0.96580303000000001</v>
      </c>
      <c r="O34" s="40">
        <f>(O4*O9 - O15)/(O4*O9)</f>
        <v>0.96886790200000006</v>
      </c>
      <c r="P34" s="40">
        <f>(P4*P9 - P15)/(P4*P9)</f>
        <v>0.97266257410000001</v>
      </c>
      <c r="Q34" s="40">
        <f>(Q4*Q9 - Q15)/(Q4*Q9)</f>
        <v>0.97699311700000002</v>
      </c>
      <c r="R34" s="48"/>
      <c r="S34" s="54">
        <f>(S4*S9 - S15)/(S4*S9)</f>
        <v>0.96788880399999999</v>
      </c>
      <c r="T34" s="54">
        <f>(T4*T9 - T15)/(T4*T9)</f>
        <v>0.97300605910000004</v>
      </c>
      <c r="U34" s="54">
        <f>(U4*U9 - U15)/(U4*U9)</f>
        <v>0.97843325740000009</v>
      </c>
      <c r="V34" s="54">
        <f>(V4*V9 - V15)/(V4*V9)</f>
        <v>0.98340402910000002</v>
      </c>
      <c r="W34" s="45"/>
    </row>
    <row r="35" spans="1:23">
      <c r="A35" s="45"/>
      <c r="B35" s="45"/>
      <c r="C35" s="45"/>
      <c r="D35" s="53"/>
      <c r="E35" s="53"/>
      <c r="F35" s="53"/>
      <c r="G35" s="53"/>
      <c r="H35" s="47"/>
      <c r="I35" s="53"/>
      <c r="J35" s="53"/>
      <c r="K35" s="53"/>
      <c r="L35" s="53"/>
      <c r="M35" s="48"/>
      <c r="N35" s="53"/>
      <c r="O35" s="53"/>
      <c r="P35" s="53"/>
      <c r="Q35" s="53"/>
      <c r="R35" s="48"/>
      <c r="S35" s="53"/>
      <c r="T35" s="53"/>
      <c r="U35" s="53"/>
      <c r="V35" s="53"/>
      <c r="W35" s="45"/>
    </row>
    <row r="36" spans="1:23" ht="15.5">
      <c r="A36" s="45"/>
      <c r="B36" s="45" t="s">
        <v>76</v>
      </c>
      <c r="C36" s="45"/>
      <c r="D36" s="53">
        <f>D29/D27</f>
        <v>1.9349666941377017</v>
      </c>
      <c r="E36" s="53">
        <f>E29/E27</f>
        <v>1.4529026521350743</v>
      </c>
      <c r="F36" s="53">
        <f>F29/F27</f>
        <v>1.235867030732009</v>
      </c>
      <c r="G36" s="53">
        <f>G29/G27</f>
        <v>1.1056216134831687</v>
      </c>
      <c r="H36" s="47"/>
      <c r="I36" s="53">
        <f>I29/I27</f>
        <v>1.9387961353603655</v>
      </c>
      <c r="J36" s="53">
        <f>J29/J27</f>
        <v>1.4555021674330835</v>
      </c>
      <c r="K36" s="53">
        <f>K29/K27</f>
        <v>1.2389326818117175</v>
      </c>
      <c r="L36" s="53">
        <f>L29/L27</f>
        <v>1.1098134583210366</v>
      </c>
      <c r="M36" s="48"/>
      <c r="N36" s="53">
        <f>N29/N27</f>
        <v>1.7462541042091786</v>
      </c>
      <c r="O36" s="53">
        <f>O29/O27</f>
        <v>1.3207547438647935</v>
      </c>
      <c r="P36" s="53">
        <f>P29/P27</f>
        <v>1.1288692652808141</v>
      </c>
      <c r="Q36" s="53">
        <f>Q29/Q27</f>
        <v>1.0140486235325121</v>
      </c>
      <c r="R36" s="48"/>
      <c r="S36" s="53">
        <f>S29/S27</f>
        <v>1.758239089937834</v>
      </c>
      <c r="T36" s="53">
        <f>T29/T27</f>
        <v>1.3322210989178656</v>
      </c>
      <c r="U36" s="53">
        <f>U29/U27</f>
        <v>1.1394184770472007</v>
      </c>
      <c r="V36" s="53">
        <f>V29/V27</f>
        <v>1.0237118607618483</v>
      </c>
      <c r="W36" s="45"/>
    </row>
    <row r="37" spans="1:23">
      <c r="A37" s="45"/>
      <c r="B37" s="45" t="s">
        <v>77</v>
      </c>
      <c r="C37" s="45"/>
      <c r="D37" s="53"/>
      <c r="E37" s="53"/>
      <c r="F37" s="53"/>
      <c r="G37" s="53"/>
      <c r="H37" s="47"/>
      <c r="I37" s="53"/>
      <c r="J37" s="53"/>
      <c r="K37" s="53"/>
      <c r="L37" s="53"/>
      <c r="M37" s="48"/>
      <c r="N37" s="53"/>
      <c r="O37" s="53"/>
      <c r="P37" s="53"/>
      <c r="Q37" s="53"/>
      <c r="R37" s="48"/>
      <c r="S37" s="53"/>
      <c r="T37" s="53"/>
      <c r="U37" s="53"/>
      <c r="V37" s="53"/>
      <c r="W37" s="45"/>
    </row>
    <row r="38" spans="1:23">
      <c r="A38" s="45"/>
      <c r="B38" s="45"/>
      <c r="C38" s="11" t="s">
        <v>78</v>
      </c>
      <c r="D38" s="53">
        <f>5*D20+6*D21+7*D22+8*D23+9*D24+10*D25+11*D26</f>
        <v>0.63494885150000002</v>
      </c>
      <c r="E38" s="53">
        <f>5*E20+6*E21+7*E22+8*E23+9*E24+10*E25+11*E26</f>
        <v>0.78966966800000005</v>
      </c>
      <c r="F38" s="53">
        <f>5*F20+6*F21+7*F22+8*F23+9*F24+10*F25+11*F26</f>
        <v>0.88403494999999999</v>
      </c>
      <c r="G38" s="53">
        <f>5*G20+6*G21+7*G22+8*G23+9*G24+10*G25+11*G26</f>
        <v>0.94940423100000004</v>
      </c>
      <c r="H38" s="47"/>
      <c r="I38" s="53">
        <f>5*I20+6*I21+7*I22+8*I23+9*I24+10*I25+11*I26</f>
        <v>0.63626621240000003</v>
      </c>
      <c r="J38" s="53">
        <f>5*J20+6*J21+7*J22+8*J23+9*J24+10*J25+11*J26</f>
        <v>0.78962937899999996</v>
      </c>
      <c r="K38" s="53">
        <f>5*K20+6*K21+7*K22+8*K23+9*K24+10*K25+11*K26</f>
        <v>0.88588693099999993</v>
      </c>
      <c r="L38" s="53">
        <f>5*L20+6*L21+7*L22+8*L23+9*L24+10*L25+11*L26</f>
        <v>0.95589011400000001</v>
      </c>
      <c r="M38" s="48"/>
      <c r="N38" s="53">
        <f>5*N20+6*N21+7*N22+8*N23+9*N24+10*N25+11*N26</f>
        <v>0.69074304600000003</v>
      </c>
      <c r="O38" s="53">
        <f>5*O20+6*O21+7*O22+8*O23+9*O24+10*O25+11*O26</f>
        <v>0.85003653200000007</v>
      </c>
      <c r="P38" s="53">
        <f>5*P20+6*P21+7*P22+8*P23+9*P24+10*P25+11*P26</f>
        <v>0.94937705699999986</v>
      </c>
      <c r="Q38" s="53">
        <f>5*Q20+6*Q21+7*Q22+8*Q23+9*Q24+10*Q25+11*Q26</f>
        <v>1.0211927119999999</v>
      </c>
      <c r="R38" s="48"/>
      <c r="S38" s="53">
        <f>5*S20+6*S21+7*S22+8*S23+9*S24+10*S25+11*S26</f>
        <v>0.68845342460000003</v>
      </c>
      <c r="T38" s="53">
        <f>5*T20+6*T21+7*T22+8*T23+9*T24+10*T25+11*T26</f>
        <v>0.84784795499999999</v>
      </c>
      <c r="U38" s="53">
        <f>5*U20+6*U21+7*U22+8*U23+9*U24+10*U25+11*U26</f>
        <v>0.94792103500000013</v>
      </c>
      <c r="V38" s="53">
        <f>5*V20+6*V21+7*V22+8*V23+9*V24+10*V25+11*V26</f>
        <v>1.0199997289999998</v>
      </c>
      <c r="W38" s="45"/>
    </row>
    <row r="39" spans="1:23" ht="13">
      <c r="A39" s="11"/>
      <c r="B39" s="22" t="s">
        <v>32</v>
      </c>
      <c r="C39" s="11" t="s">
        <v>79</v>
      </c>
      <c r="D39" s="53">
        <f>D10</f>
        <v>3.333333333333333</v>
      </c>
      <c r="E39" s="53">
        <f>E10</f>
        <v>3.333333333333333</v>
      </c>
      <c r="F39" s="53">
        <f>F10</f>
        <v>3.333333333333333</v>
      </c>
      <c r="G39" s="53">
        <f>G10</f>
        <v>3.333333333333333</v>
      </c>
      <c r="H39" s="47"/>
      <c r="I39" s="53">
        <f>I10</f>
        <v>3.333333333333333</v>
      </c>
      <c r="J39" s="53">
        <f>J10</f>
        <v>3.333333333333333</v>
      </c>
      <c r="K39" s="53">
        <f>K10</f>
        <v>3.333333333333333</v>
      </c>
      <c r="L39" s="53">
        <f>L10</f>
        <v>3.333333333333333</v>
      </c>
      <c r="M39" s="48"/>
      <c r="N39" s="53">
        <f>N10</f>
        <v>3.333333333333333</v>
      </c>
      <c r="O39" s="53">
        <f>O10</f>
        <v>3.333333333333333</v>
      </c>
      <c r="P39" s="53">
        <f>P10</f>
        <v>3.333333333333333</v>
      </c>
      <c r="Q39" s="53">
        <f>Q10</f>
        <v>3.333333333333333</v>
      </c>
      <c r="R39" s="48"/>
      <c r="S39" s="53">
        <f>S10</f>
        <v>3.333333333333333</v>
      </c>
      <c r="T39" s="53">
        <f>T10</f>
        <v>3.333333333333333</v>
      </c>
      <c r="U39" s="53">
        <f>U10</f>
        <v>3.333333333333333</v>
      </c>
      <c r="V39" s="53">
        <f>V10</f>
        <v>3.333333333333333</v>
      </c>
      <c r="W39" s="45"/>
    </row>
    <row r="40" spans="1:23" ht="15.5">
      <c r="A40" s="45"/>
      <c r="B40" s="11" t="s">
        <v>80</v>
      </c>
      <c r="C40" s="11" t="s">
        <v>81</v>
      </c>
      <c r="D40" s="54">
        <f>D38/D39</f>
        <v>0.19048465545000001</v>
      </c>
      <c r="E40" s="54">
        <f>E38/E39</f>
        <v>0.23690090040000003</v>
      </c>
      <c r="F40" s="54">
        <f>F38/F39</f>
        <v>0.265210485</v>
      </c>
      <c r="G40" s="54">
        <f>G38/G39</f>
        <v>0.28482126930000001</v>
      </c>
      <c r="H40" s="47"/>
      <c r="I40" s="41">
        <f>I38/I39</f>
        <v>0.19087986372000001</v>
      </c>
      <c r="J40" s="41">
        <f>J38/J39</f>
        <v>0.23688881370000001</v>
      </c>
      <c r="K40" s="41">
        <f>K38/K39</f>
        <v>0.26576607930000001</v>
      </c>
      <c r="L40" s="41">
        <f>L38/L39</f>
        <v>0.28676703420000005</v>
      </c>
      <c r="M40" s="48"/>
      <c r="N40" s="54">
        <f>N38/N39</f>
        <v>0.20722291380000002</v>
      </c>
      <c r="O40" s="42">
        <f>O38/O39</f>
        <v>0.25501095960000003</v>
      </c>
      <c r="P40" s="42">
        <f>P38/P39</f>
        <v>0.28481311709999996</v>
      </c>
      <c r="Q40" s="42">
        <f>Q38/Q39</f>
        <v>0.30635781360000003</v>
      </c>
      <c r="R40" s="47"/>
      <c r="S40" s="54">
        <f>S38/S39</f>
        <v>0.20653602738000001</v>
      </c>
      <c r="T40" s="54">
        <f>T38/T39</f>
        <v>0.25435438650000003</v>
      </c>
      <c r="U40" s="54">
        <f>U38/U39</f>
        <v>0.28437631050000006</v>
      </c>
      <c r="V40" s="54">
        <f>V38/V39</f>
        <v>0.30599991869999998</v>
      </c>
      <c r="W40" s="45"/>
    </row>
    <row r="41" spans="1:23">
      <c r="A41" s="45"/>
      <c r="B41" s="45"/>
      <c r="C41" s="45"/>
      <c r="D41" s="53"/>
      <c r="E41" s="53"/>
      <c r="F41" s="53"/>
      <c r="G41" s="53"/>
      <c r="H41" s="47"/>
      <c r="I41" s="53"/>
      <c r="J41" s="53"/>
      <c r="K41" s="53"/>
      <c r="L41" s="53"/>
      <c r="M41" s="48"/>
      <c r="N41" s="53"/>
      <c r="O41" s="53"/>
      <c r="P41" s="53"/>
      <c r="Q41" s="53"/>
      <c r="R41" s="48"/>
      <c r="S41" s="53"/>
      <c r="T41" s="53"/>
      <c r="U41" s="53"/>
      <c r="V41" s="53"/>
      <c r="W41" s="45"/>
    </row>
    <row r="42" spans="1:23">
      <c r="A42" s="45"/>
      <c r="B42" s="45"/>
      <c r="C42" s="45"/>
      <c r="D42" s="53"/>
      <c r="E42" s="53"/>
      <c r="F42" s="53"/>
      <c r="G42" s="53"/>
      <c r="H42" s="47"/>
      <c r="I42" s="53"/>
      <c r="J42" s="53"/>
      <c r="K42" s="53"/>
      <c r="L42" s="53"/>
      <c r="M42" s="48"/>
      <c r="N42" s="53"/>
      <c r="O42" s="53"/>
      <c r="P42" s="53"/>
      <c r="Q42" s="53"/>
      <c r="R42" s="48"/>
      <c r="S42" s="53"/>
      <c r="T42" s="53"/>
      <c r="U42" s="53"/>
      <c r="V42" s="53"/>
      <c r="W42" s="45"/>
    </row>
    <row r="43" spans="1:23">
      <c r="A43" s="45"/>
      <c r="B43" s="45"/>
      <c r="C43" s="11" t="s">
        <v>78</v>
      </c>
      <c r="D43" s="53">
        <f>D38</f>
        <v>0.63494885150000002</v>
      </c>
      <c r="E43" s="53">
        <f>E38</f>
        <v>0.78966966800000005</v>
      </c>
      <c r="F43" s="53">
        <f>F38</f>
        <v>0.88403494999999999</v>
      </c>
      <c r="G43" s="53">
        <f>G38</f>
        <v>0.94940423100000004</v>
      </c>
      <c r="H43" s="47"/>
      <c r="I43" s="53">
        <f>I38</f>
        <v>0.63626621240000003</v>
      </c>
      <c r="J43" s="53">
        <f>J38</f>
        <v>0.78962937899999996</v>
      </c>
      <c r="K43" s="53">
        <f>K38</f>
        <v>0.88588693099999993</v>
      </c>
      <c r="L43" s="53">
        <f>L38</f>
        <v>0.95589011400000001</v>
      </c>
      <c r="M43" s="48"/>
      <c r="N43" s="53">
        <f>N38</f>
        <v>0.69074304600000003</v>
      </c>
      <c r="O43" s="53">
        <f>O38</f>
        <v>0.85003653200000007</v>
      </c>
      <c r="P43" s="53">
        <f>P38</f>
        <v>0.94937705699999986</v>
      </c>
      <c r="Q43" s="53">
        <f>Q38</f>
        <v>1.0211927119999999</v>
      </c>
      <c r="R43" s="48"/>
      <c r="S43" s="53">
        <f>S38</f>
        <v>0.68845342460000003</v>
      </c>
      <c r="T43" s="53">
        <f>T38</f>
        <v>0.84784795499999999</v>
      </c>
      <c r="U43" s="53">
        <f>U38</f>
        <v>0.94792103500000013</v>
      </c>
      <c r="V43" s="53">
        <f>V38</f>
        <v>1.0199997289999998</v>
      </c>
      <c r="W43" s="45"/>
    </row>
    <row r="44" spans="1:23">
      <c r="A44" s="45"/>
      <c r="B44" s="43" t="s">
        <v>32</v>
      </c>
      <c r="C44" s="11" t="s">
        <v>79</v>
      </c>
      <c r="D44" s="53">
        <f>D39*D34</f>
        <v>3.202268853333333</v>
      </c>
      <c r="E44" s="53">
        <f>E39*E34</f>
        <v>3.2108258233333329</v>
      </c>
      <c r="F44" s="53">
        <f>F39*F34</f>
        <v>3.2085956433333331</v>
      </c>
      <c r="G44" s="53">
        <f>G39*G34</f>
        <v>3.2008819733333329</v>
      </c>
      <c r="H44" s="47"/>
      <c r="I44" s="53">
        <f>I39*I34</f>
        <v>3.2142008033333331</v>
      </c>
      <c r="J44" s="53">
        <f>J39*J34</f>
        <v>3.2160397833333332</v>
      </c>
      <c r="K44" s="53">
        <f>K39*K34</f>
        <v>3.2233121233333328</v>
      </c>
      <c r="L44" s="53">
        <f>L39*L34</f>
        <v>3.2348066143333329</v>
      </c>
      <c r="M44" s="48"/>
      <c r="N44" s="53">
        <f>N39*N34</f>
        <v>3.2193434333333331</v>
      </c>
      <c r="O44" s="53">
        <f>O39*O34</f>
        <v>3.2295596733333332</v>
      </c>
      <c r="P44" s="53">
        <f>P39*P34</f>
        <v>3.2422085803333331</v>
      </c>
      <c r="Q44" s="53">
        <f>Q39*Q34</f>
        <v>3.2566437233333332</v>
      </c>
      <c r="R44" s="48"/>
      <c r="S44" s="53">
        <f>S39*S34</f>
        <v>3.2262960133333332</v>
      </c>
      <c r="T44" s="53">
        <f>T39*T34</f>
        <v>3.2433535303333332</v>
      </c>
      <c r="U44" s="53">
        <f>U39*U34</f>
        <v>3.2614441913333332</v>
      </c>
      <c r="V44" s="53">
        <f>V39*V34</f>
        <v>3.278013430333333</v>
      </c>
      <c r="W44" s="45"/>
    </row>
    <row r="45" spans="1:23" ht="15.5">
      <c r="A45" s="45"/>
      <c r="B45" s="11" t="s">
        <v>82</v>
      </c>
      <c r="C45" s="11" t="s">
        <v>81</v>
      </c>
      <c r="D45" s="54">
        <f>D43/D44</f>
        <v>0.19828093160855736</v>
      </c>
      <c r="E45" s="54">
        <f>E43/E44</f>
        <v>0.245939739945221</v>
      </c>
      <c r="F45" s="54">
        <f>F43/F44</f>
        <v>0.27552083474176797</v>
      </c>
      <c r="G45" s="54">
        <f>G43/G44</f>
        <v>0.29660707233491335</v>
      </c>
      <c r="H45" s="47"/>
      <c r="I45" s="54">
        <f>I43/I44</f>
        <v>0.19795471762067604</v>
      </c>
      <c r="J45" s="54">
        <f>J43/J44</f>
        <v>0.24552848602562116</v>
      </c>
      <c r="K45" s="54">
        <f>K43/K44</f>
        <v>0.27483746441653167</v>
      </c>
      <c r="L45" s="54">
        <f>L43/L44</f>
        <v>0.29550147132891313</v>
      </c>
      <c r="M45" s="48"/>
      <c r="N45" s="54">
        <f>N43/N44</f>
        <v>0.21456022332006974</v>
      </c>
      <c r="O45" s="54">
        <f>O43/O44</f>
        <v>0.26320508613567428</v>
      </c>
      <c r="P45" s="54">
        <f>P43/P44</f>
        <v>0.29281800768733823</v>
      </c>
      <c r="Q45" s="54">
        <f>Q43/Q44</f>
        <v>0.31357213092832875</v>
      </c>
      <c r="R45" s="47"/>
      <c r="S45" s="54">
        <f>S43/S44</f>
        <v>0.21338817695426099</v>
      </c>
      <c r="T45" s="54">
        <f>T43/T44</f>
        <v>0.26141089679880292</v>
      </c>
      <c r="U45" s="54">
        <f>U43/U44</f>
        <v>0.29064456706600095</v>
      </c>
      <c r="V45" s="54">
        <f>V43/V44</f>
        <v>0.31116398717630589</v>
      </c>
      <c r="W45" s="45"/>
    </row>
    <row r="46" spans="1:23">
      <c r="A46" s="45"/>
      <c r="B46" s="45"/>
      <c r="C46" s="45"/>
      <c r="D46" s="53"/>
      <c r="E46" s="53"/>
      <c r="F46" s="53"/>
      <c r="G46" s="53"/>
      <c r="H46" s="47"/>
      <c r="I46" s="53"/>
      <c r="J46" s="53"/>
      <c r="K46" s="53"/>
      <c r="L46" s="53"/>
      <c r="M46" s="48"/>
      <c r="N46" s="53"/>
      <c r="O46" s="53"/>
      <c r="P46" s="53"/>
      <c r="Q46" s="53"/>
      <c r="R46" s="48"/>
      <c r="S46" s="53"/>
      <c r="T46" s="53"/>
      <c r="U46" s="53"/>
      <c r="V46" s="53"/>
      <c r="W46" s="45"/>
    </row>
    <row r="47" spans="1:23">
      <c r="A47" s="45"/>
      <c r="B47" s="45"/>
      <c r="C47" s="45"/>
      <c r="D47" s="53"/>
      <c r="E47" s="53"/>
      <c r="F47" s="53"/>
      <c r="G47" s="53"/>
      <c r="H47" s="47"/>
      <c r="I47" s="53"/>
      <c r="J47" s="53"/>
      <c r="K47" s="53"/>
      <c r="L47" s="53"/>
      <c r="M47" s="48"/>
      <c r="N47" s="53"/>
      <c r="O47" s="53"/>
      <c r="P47" s="53"/>
      <c r="Q47" s="53"/>
      <c r="R47" s="48"/>
      <c r="S47" s="53"/>
      <c r="T47" s="53"/>
      <c r="U47" s="53"/>
      <c r="V47" s="53"/>
      <c r="W47" s="45"/>
    </row>
    <row r="48" spans="1:23" ht="18.75" customHeight="1">
      <c r="A48" s="45"/>
      <c r="H48" s="47"/>
      <c r="I48" s="53"/>
      <c r="J48" s="53"/>
      <c r="K48" s="53"/>
      <c r="L48" s="53"/>
      <c r="M48" s="48"/>
      <c r="N48" s="53"/>
      <c r="O48" s="53"/>
      <c r="P48" s="53"/>
      <c r="Q48" s="53"/>
      <c r="R48" s="48"/>
      <c r="S48" s="53"/>
      <c r="T48" s="53"/>
      <c r="U48" s="53"/>
      <c r="V48" s="53"/>
      <c r="W48" s="45"/>
    </row>
    <row r="49" spans="1:23" ht="12.75" customHeight="1">
      <c r="A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>
      <c r="A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>
      <c r="A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>
      <c r="A52" s="45"/>
      <c r="H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ht="12.75" customHeight="1">
      <c r="A53" s="45"/>
      <c r="B53" s="1"/>
      <c r="C53" s="63" t="s">
        <v>84</v>
      </c>
      <c r="D53" s="63"/>
      <c r="E53" s="63"/>
      <c r="F53" s="63"/>
      <c r="G53" s="63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>
      <c r="A54" s="45"/>
      <c r="B54" s="45"/>
      <c r="C54" s="46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>
      <c r="A55" s="45"/>
      <c r="B55" s="45"/>
      <c r="C55" s="45">
        <v>1.0129999999999999</v>
      </c>
      <c r="D55" s="45">
        <v>2.0259999999999998</v>
      </c>
      <c r="E55" s="45">
        <v>3.0390000000000001</v>
      </c>
      <c r="F55" s="45">
        <v>4.0529999999999999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ht="13">
      <c r="A56" s="45"/>
      <c r="B56" s="1" t="s">
        <v>85</v>
      </c>
      <c r="C56" s="47">
        <f>D27</f>
        <v>8.2885483499999996E-2</v>
      </c>
      <c r="D56" s="47">
        <f>E27</f>
        <v>0.10394621400000001</v>
      </c>
      <c r="E56" s="47">
        <f>F27</f>
        <v>0.11701672300000002</v>
      </c>
      <c r="F56" s="47">
        <f>G27</f>
        <v>0.126207663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ht="15">
      <c r="A57" s="45"/>
      <c r="B57" s="1" t="s">
        <v>86</v>
      </c>
      <c r="C57" s="48">
        <f>I27</f>
        <v>8.3054905600000006E-2</v>
      </c>
      <c r="D57" s="48">
        <f>J27</f>
        <v>0.10393884900000001</v>
      </c>
      <c r="E57" s="48">
        <f>K27</f>
        <v>0.117257404</v>
      </c>
      <c r="F57" s="48">
        <f>L27</f>
        <v>0.127059326</v>
      </c>
      <c r="G57" s="45"/>
      <c r="I57" s="1" t="s">
        <v>87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ht="13">
      <c r="A58" s="45"/>
      <c r="B58" s="1" t="s">
        <v>88</v>
      </c>
      <c r="C58" s="48">
        <f>N27</f>
        <v>9.0440382999999985E-2</v>
      </c>
      <c r="D58" s="48">
        <f>O27</f>
        <v>0.112293778</v>
      </c>
      <c r="E58" s="48">
        <f>P27</f>
        <v>0.12616232399999999</v>
      </c>
      <c r="F58" s="48">
        <f>Q27</f>
        <v>0.13632218100000001</v>
      </c>
      <c r="G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spans="1:23" ht="13">
      <c r="A59" s="45"/>
      <c r="B59" s="1" t="s">
        <v>89</v>
      </c>
      <c r="C59" s="48">
        <f>S27</f>
        <v>9.0134220600000009E-2</v>
      </c>
      <c r="D59" s="48">
        <f>T27</f>
        <v>0.11199497600000001</v>
      </c>
      <c r="E59" s="48">
        <f>U27</f>
        <v>0.12595657600000001</v>
      </c>
      <c r="F59" s="48">
        <f>V27</f>
        <v>0.13614912099999998</v>
      </c>
      <c r="G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spans="1:23">
      <c r="A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>
      <c r="A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>
      <c r="A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>
      <c r="A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>
      <c r="A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>
      <c r="A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>
      <c r="A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>
      <c r="A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>
      <c r="A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>
      <c r="A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>
      <c r="A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>
      <c r="A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ht="13">
      <c r="A72" s="45"/>
      <c r="B72" s="1"/>
      <c r="C72" s="1" t="s">
        <v>90</v>
      </c>
      <c r="D72" s="45"/>
      <c r="E72" s="45"/>
      <c r="F72" s="45"/>
      <c r="G72" s="45"/>
      <c r="H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>
      <c r="A74" s="45"/>
      <c r="B74" s="45" t="s">
        <v>91</v>
      </c>
      <c r="C74" s="45">
        <v>1.0129999999999999</v>
      </c>
      <c r="D74" s="45">
        <v>2.0259999999999998</v>
      </c>
      <c r="E74" s="45">
        <v>3.0390000000000001</v>
      </c>
      <c r="F74" s="45">
        <v>4.0529999999999999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ht="13">
      <c r="A75" s="45"/>
      <c r="B75" s="1" t="s">
        <v>85</v>
      </c>
      <c r="C75" s="55">
        <f>D40</f>
        <v>0.19048465545000001</v>
      </c>
      <c r="D75" s="55">
        <f>E40</f>
        <v>0.23690090040000003</v>
      </c>
      <c r="E75" s="55">
        <f>F40</f>
        <v>0.265210485</v>
      </c>
      <c r="F75" s="55">
        <f>G40</f>
        <v>0.28482126930000001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ht="15.5">
      <c r="A76" s="45"/>
      <c r="B76" s="1" t="s">
        <v>86</v>
      </c>
      <c r="C76" s="56">
        <f>I40</f>
        <v>0.19087986372000001</v>
      </c>
      <c r="D76" s="56">
        <f>J40</f>
        <v>0.23688881370000001</v>
      </c>
      <c r="E76" s="56">
        <f>K40</f>
        <v>0.26576607930000001</v>
      </c>
      <c r="F76" s="56">
        <f>L40</f>
        <v>0.28676703420000005</v>
      </c>
      <c r="G76" s="45"/>
      <c r="H76" s="45"/>
      <c r="I76" s="43" t="s">
        <v>80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ht="13">
      <c r="A77" s="45"/>
      <c r="B77" s="1" t="s">
        <v>88</v>
      </c>
      <c r="C77" s="56">
        <f>N40</f>
        <v>0.20722291380000002</v>
      </c>
      <c r="D77" s="56">
        <f>O40</f>
        <v>0.25501095960000003</v>
      </c>
      <c r="E77" s="56">
        <f>P40</f>
        <v>0.28481311709999996</v>
      </c>
      <c r="F77" s="56">
        <f>Q40</f>
        <v>0.30635781360000003</v>
      </c>
      <c r="G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ht="13">
      <c r="A78" s="45"/>
      <c r="B78" s="1" t="s">
        <v>89</v>
      </c>
      <c r="C78" s="56">
        <f>S40</f>
        <v>0.20653602738000001</v>
      </c>
      <c r="D78" s="56">
        <f>T40</f>
        <v>0.25435438650000003</v>
      </c>
      <c r="E78" s="56">
        <f>U40</f>
        <v>0.28437631050000006</v>
      </c>
      <c r="F78" s="56">
        <f>V40</f>
        <v>0.30599991869999998</v>
      </c>
      <c r="G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>
      <c r="A79" s="45"/>
      <c r="B79" s="45"/>
      <c r="C79" s="45"/>
      <c r="D79" s="45"/>
      <c r="E79" s="45"/>
      <c r="F79" s="45"/>
      <c r="G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>
      <c r="A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>
      <c r="A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>
      <c r="K82" s="45"/>
    </row>
    <row r="83" spans="1:23">
      <c r="K83" s="45"/>
    </row>
    <row r="84" spans="1:23">
      <c r="K84" s="45"/>
    </row>
    <row r="85" spans="1:23">
      <c r="K85" s="45"/>
    </row>
    <row r="86" spans="1:23">
      <c r="K86" s="45"/>
    </row>
    <row r="87" spans="1:23">
      <c r="K87" s="45"/>
    </row>
    <row r="88" spans="1:23">
      <c r="K88" s="45"/>
    </row>
    <row r="89" spans="1:23">
      <c r="K89" s="45"/>
    </row>
    <row r="90" spans="1:23">
      <c r="K90" s="45"/>
    </row>
    <row r="91" spans="1:23">
      <c r="K91" s="45"/>
    </row>
    <row r="92" spans="1:23">
      <c r="K92" s="45"/>
    </row>
    <row r="93" spans="1:23" ht="13">
      <c r="B93" s="1"/>
      <c r="C93" s="1" t="s">
        <v>92</v>
      </c>
      <c r="D93" s="45"/>
      <c r="E93" s="45"/>
      <c r="F93" s="45"/>
      <c r="G93" s="45"/>
      <c r="H93" s="45"/>
      <c r="I93" s="45"/>
      <c r="J93" s="45"/>
    </row>
    <row r="94" spans="1:23">
      <c r="B94" s="45"/>
      <c r="C94" s="45"/>
      <c r="D94" s="45"/>
      <c r="E94" s="45"/>
      <c r="F94" s="45"/>
      <c r="G94" s="45"/>
      <c r="H94" s="45"/>
      <c r="I94" s="45"/>
      <c r="J94" s="45"/>
    </row>
    <row r="95" spans="1:23">
      <c r="B95" s="45" t="s">
        <v>93</v>
      </c>
      <c r="C95" s="45">
        <v>1.0129999999999999</v>
      </c>
      <c r="D95" s="45">
        <v>2.0259999999999998</v>
      </c>
      <c r="E95" s="45">
        <v>3.0390000000000001</v>
      </c>
      <c r="F95" s="45">
        <v>4.0529999999999999</v>
      </c>
      <c r="G95" s="45"/>
      <c r="H95" s="45"/>
      <c r="I95" s="45"/>
      <c r="J95" s="45"/>
    </row>
    <row r="96" spans="1:23" ht="15.5">
      <c r="B96" s="1" t="s">
        <v>85</v>
      </c>
      <c r="C96" s="47">
        <f>D36</f>
        <v>1.9349666941377017</v>
      </c>
      <c r="D96" s="47">
        <f>E36</f>
        <v>1.4529026521350743</v>
      </c>
      <c r="E96" s="47">
        <f>F36</f>
        <v>1.235867030732009</v>
      </c>
      <c r="F96" s="47">
        <f>G36</f>
        <v>1.1056216134831687</v>
      </c>
      <c r="G96" s="45"/>
      <c r="H96" s="45"/>
      <c r="I96" s="45" t="s">
        <v>76</v>
      </c>
      <c r="J96" s="45"/>
    </row>
    <row r="97" spans="2:10" ht="13">
      <c r="B97" s="1" t="s">
        <v>86</v>
      </c>
      <c r="C97" s="48">
        <f>I36</f>
        <v>1.9387961353603655</v>
      </c>
      <c r="D97" s="48">
        <f>J36</f>
        <v>1.4555021674330835</v>
      </c>
      <c r="E97" s="48">
        <f>K36</f>
        <v>1.2389326818117175</v>
      </c>
      <c r="F97" s="48">
        <f>L36</f>
        <v>1.1098134583210366</v>
      </c>
      <c r="G97" s="45"/>
      <c r="H97" s="45"/>
      <c r="I97" s="45" t="s">
        <v>94</v>
      </c>
      <c r="J97" s="45"/>
    </row>
    <row r="98" spans="2:10" ht="13">
      <c r="B98" s="1" t="s">
        <v>88</v>
      </c>
      <c r="C98" s="48">
        <f>N36</f>
        <v>1.7462541042091786</v>
      </c>
      <c r="D98" s="48">
        <f>O36</f>
        <v>1.3207547438647935</v>
      </c>
      <c r="E98" s="48">
        <f>P36</f>
        <v>1.1288692652808141</v>
      </c>
      <c r="F98" s="48">
        <f>Q36</f>
        <v>1.0140486235325121</v>
      </c>
      <c r="G98" s="45"/>
      <c r="H98" s="45"/>
      <c r="I98" s="45"/>
      <c r="J98" s="45"/>
    </row>
    <row r="99" spans="2:10" ht="13">
      <c r="B99" s="1" t="s">
        <v>89</v>
      </c>
      <c r="C99" s="48">
        <f>S36</f>
        <v>1.758239089937834</v>
      </c>
      <c r="D99" s="48">
        <f>T36</f>
        <v>1.3322210989178656</v>
      </c>
      <c r="E99" s="48">
        <f>U36</f>
        <v>1.1394184770472007</v>
      </c>
      <c r="F99" s="48">
        <f>V36</f>
        <v>1.0237118607618483</v>
      </c>
      <c r="G99" s="45"/>
      <c r="H99" s="45"/>
      <c r="I99" s="45"/>
      <c r="J99" s="45"/>
    </row>
    <row r="100" spans="2:10"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2:10">
      <c r="B101" s="45"/>
      <c r="C101" s="45"/>
      <c r="D101" s="45"/>
      <c r="E101" s="45"/>
      <c r="F101" s="45"/>
      <c r="G101" s="45"/>
      <c r="H101" s="45"/>
      <c r="I101" s="45"/>
      <c r="J101" s="45"/>
    </row>
    <row r="107" spans="2:10">
      <c r="H107" s="45"/>
      <c r="I107" s="45"/>
      <c r="J107" s="45"/>
    </row>
    <row r="108" spans="2:10">
      <c r="H108" s="45"/>
      <c r="I108" s="45"/>
      <c r="J108" s="45"/>
    </row>
    <row r="109" spans="2:10">
      <c r="H109" s="45"/>
      <c r="I109" s="45"/>
      <c r="J109" s="45"/>
    </row>
    <row r="110" spans="2:10">
      <c r="H110" s="45"/>
      <c r="I110" s="45"/>
      <c r="J110" s="45"/>
    </row>
    <row r="111" spans="2:10">
      <c r="H111" s="45"/>
      <c r="I111" s="43"/>
      <c r="J111" s="45"/>
    </row>
    <row r="112" spans="2:10">
      <c r="H112" s="45"/>
      <c r="I112" s="45"/>
      <c r="J112" s="45"/>
    </row>
    <row r="113" spans="2:10" ht="13">
      <c r="B113" s="1"/>
      <c r="C113" s="1" t="s">
        <v>95</v>
      </c>
      <c r="D113" s="45"/>
      <c r="E113" s="45"/>
      <c r="F113" s="45"/>
      <c r="G113" s="45"/>
      <c r="H113" s="45"/>
      <c r="I113" s="45"/>
      <c r="J113" s="45"/>
    </row>
    <row r="114" spans="2:10">
      <c r="B114" s="45"/>
      <c r="C114" s="45"/>
      <c r="D114" s="45"/>
      <c r="E114" s="45"/>
      <c r="F114" s="45"/>
      <c r="G114" s="45"/>
    </row>
    <row r="115" spans="2:10">
      <c r="B115" s="45" t="s">
        <v>93</v>
      </c>
      <c r="C115" s="45">
        <v>1.0129999999999999</v>
      </c>
      <c r="D115" s="45">
        <v>2.0259999999999998</v>
      </c>
      <c r="E115" s="45">
        <v>3.0390000000000001</v>
      </c>
      <c r="F115" s="45">
        <v>4.0529999999999999</v>
      </c>
      <c r="G115" s="45"/>
    </row>
    <row r="116" spans="2:10" ht="13">
      <c r="B116" s="1" t="s">
        <v>85</v>
      </c>
      <c r="C116" s="57">
        <f>D34</f>
        <v>0.96068065599999997</v>
      </c>
      <c r="D116" s="57">
        <f>E34</f>
        <v>0.96324774699999993</v>
      </c>
      <c r="E116" s="57">
        <f>F34</f>
        <v>0.96257869299999999</v>
      </c>
      <c r="F116" s="57">
        <f>G34</f>
        <v>0.96026459199999992</v>
      </c>
      <c r="G116" s="45"/>
    </row>
    <row r="117" spans="2:10" ht="15.5">
      <c r="B117" s="1" t="s">
        <v>86</v>
      </c>
      <c r="C117" s="56">
        <f>I34</f>
        <v>0.96426024100000007</v>
      </c>
      <c r="D117" s="56">
        <f>J34</f>
        <v>0.96481193500000006</v>
      </c>
      <c r="E117" s="56">
        <f>K34</f>
        <v>0.96699363699999996</v>
      </c>
      <c r="F117" s="56">
        <f>L34</f>
        <v>0.97044198429999995</v>
      </c>
      <c r="G117" s="45"/>
      <c r="I117" s="43" t="s">
        <v>96</v>
      </c>
    </row>
    <row r="118" spans="2:10" ht="13">
      <c r="B118" s="1" t="s">
        <v>88</v>
      </c>
      <c r="C118" s="56">
        <f>N34</f>
        <v>0.96580303000000001</v>
      </c>
      <c r="D118" s="56">
        <f>O34</f>
        <v>0.96886790200000006</v>
      </c>
      <c r="E118" s="56">
        <f>P34</f>
        <v>0.97266257410000001</v>
      </c>
      <c r="F118" s="56">
        <f>Q34</f>
        <v>0.97699311700000002</v>
      </c>
      <c r="G118" s="45"/>
    </row>
    <row r="119" spans="2:10" ht="13">
      <c r="B119" s="1" t="s">
        <v>89</v>
      </c>
      <c r="C119" s="56">
        <f>S34</f>
        <v>0.96788880399999999</v>
      </c>
      <c r="D119" s="56">
        <f>T34</f>
        <v>0.97300605910000004</v>
      </c>
      <c r="E119" s="56">
        <f>U34</f>
        <v>0.97843325740000009</v>
      </c>
      <c r="F119" s="56">
        <f>V34</f>
        <v>0.98340402910000002</v>
      </c>
      <c r="G119" s="45"/>
    </row>
  </sheetData>
  <mergeCells count="1">
    <mergeCell ref="C53:G5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119"/>
  <sheetViews>
    <sheetView topLeftCell="A52" zoomScale="40" zoomScaleNormal="40" workbookViewId="0">
      <selection activeCell="J50" sqref="J50"/>
    </sheetView>
  </sheetViews>
  <sheetFormatPr defaultColWidth="11.54296875" defaultRowHeight="12.5"/>
  <cols>
    <col min="1" max="1" width="6.54296875" customWidth="1"/>
    <col min="2" max="2" width="30.7265625" customWidth="1"/>
    <col min="3" max="3" width="13" customWidth="1"/>
    <col min="4" max="7" width="13.7265625" customWidth="1"/>
    <col min="8" max="8" width="2" customWidth="1"/>
    <col min="9" max="12" width="14.81640625" customWidth="1"/>
    <col min="13" max="13" width="2" customWidth="1"/>
    <col min="14" max="17" width="13.26953125" customWidth="1"/>
    <col min="18" max="18" width="2" customWidth="1"/>
    <col min="19" max="22" width="13.26953125" customWidth="1"/>
  </cols>
  <sheetData>
    <row r="2" spans="1:23" ht="13">
      <c r="A2" s="19"/>
      <c r="B2" s="20" t="s">
        <v>39</v>
      </c>
      <c r="C2" s="20"/>
      <c r="D2" s="8" t="s">
        <v>43</v>
      </c>
      <c r="E2" s="8" t="s">
        <v>43</v>
      </c>
      <c r="F2" s="8" t="s">
        <v>43</v>
      </c>
      <c r="G2" s="8" t="s">
        <v>43</v>
      </c>
      <c r="H2" s="2"/>
      <c r="I2" s="8" t="s">
        <v>43</v>
      </c>
      <c r="J2" s="8" t="s">
        <v>43</v>
      </c>
      <c r="K2" s="8" t="s">
        <v>43</v>
      </c>
      <c r="L2" s="8" t="s">
        <v>43</v>
      </c>
      <c r="N2" s="8" t="s">
        <v>43</v>
      </c>
      <c r="O2" s="8" t="s">
        <v>43</v>
      </c>
      <c r="P2" s="8" t="s">
        <v>43</v>
      </c>
      <c r="Q2" s="8" t="s">
        <v>43</v>
      </c>
      <c r="S2" s="8" t="s">
        <v>43</v>
      </c>
      <c r="T2" s="8" t="s">
        <v>43</v>
      </c>
      <c r="U2" s="8" t="s">
        <v>43</v>
      </c>
      <c r="V2" s="8" t="s">
        <v>43</v>
      </c>
    </row>
    <row r="3" spans="1:23">
      <c r="A3" s="21" t="s">
        <v>44</v>
      </c>
      <c r="B3" s="20" t="s">
        <v>45</v>
      </c>
      <c r="C3" s="20"/>
      <c r="D3">
        <f>30*101325</f>
        <v>3039750</v>
      </c>
      <c r="E3">
        <f>30*101325</f>
        <v>3039750</v>
      </c>
      <c r="F3">
        <f>30*101325</f>
        <v>3039750</v>
      </c>
      <c r="G3">
        <f>30*101325</f>
        <v>3039750</v>
      </c>
      <c r="I3">
        <f>30*101325</f>
        <v>3039750</v>
      </c>
      <c r="J3">
        <f>30*101325</f>
        <v>3039750</v>
      </c>
      <c r="K3">
        <f>30*101325</f>
        <v>3039750</v>
      </c>
      <c r="L3">
        <f>30*101325</f>
        <v>3039750</v>
      </c>
      <c r="N3">
        <f>40*101325</f>
        <v>4053000</v>
      </c>
      <c r="O3">
        <f>40*101325</f>
        <v>4053000</v>
      </c>
      <c r="P3">
        <f>40*101325</f>
        <v>4053000</v>
      </c>
      <c r="Q3">
        <f>40*101325</f>
        <v>4053000</v>
      </c>
      <c r="S3">
        <f>40*101325</f>
        <v>4053000</v>
      </c>
      <c r="T3">
        <f>40*101325</f>
        <v>4053000</v>
      </c>
      <c r="U3">
        <f>40*101325</f>
        <v>4053000</v>
      </c>
      <c r="V3">
        <f>40*101325</f>
        <v>4053000</v>
      </c>
    </row>
    <row r="4" spans="1:23">
      <c r="A4" s="21" t="s">
        <v>46</v>
      </c>
      <c r="B4" s="20" t="s">
        <v>47</v>
      </c>
      <c r="C4" s="20"/>
      <c r="D4">
        <v>10</v>
      </c>
      <c r="E4">
        <v>10</v>
      </c>
      <c r="F4">
        <v>10</v>
      </c>
      <c r="G4">
        <v>10</v>
      </c>
      <c r="I4">
        <v>10</v>
      </c>
      <c r="J4">
        <v>10</v>
      </c>
      <c r="K4">
        <v>10</v>
      </c>
      <c r="L4">
        <v>10</v>
      </c>
      <c r="N4">
        <v>10</v>
      </c>
      <c r="O4">
        <v>10</v>
      </c>
      <c r="P4">
        <v>10</v>
      </c>
      <c r="Q4">
        <v>10</v>
      </c>
      <c r="S4">
        <v>10</v>
      </c>
      <c r="T4">
        <v>10</v>
      </c>
      <c r="U4">
        <v>10</v>
      </c>
      <c r="V4">
        <v>10</v>
      </c>
    </row>
    <row r="5" spans="1:23">
      <c r="A5" s="21" t="s">
        <v>46</v>
      </c>
    </row>
    <row r="6" spans="1:23" ht="13">
      <c r="A6" s="21" t="s">
        <v>48</v>
      </c>
      <c r="B6" s="22" t="s">
        <v>49</v>
      </c>
      <c r="C6" s="22"/>
    </row>
    <row r="7" spans="1:23" ht="15.5">
      <c r="A7" s="21"/>
      <c r="B7" s="20" t="s">
        <v>50</v>
      </c>
      <c r="C7" s="20"/>
      <c r="D7">
        <v>1.4</v>
      </c>
      <c r="E7">
        <v>1.6</v>
      </c>
      <c r="F7">
        <v>1.8</v>
      </c>
      <c r="G7">
        <v>2</v>
      </c>
      <c r="I7">
        <v>2.2000000000000002</v>
      </c>
      <c r="J7">
        <v>2.4</v>
      </c>
      <c r="K7">
        <v>2.6</v>
      </c>
      <c r="L7">
        <v>2.8</v>
      </c>
      <c r="N7">
        <v>1.4</v>
      </c>
      <c r="O7">
        <v>1.6</v>
      </c>
      <c r="P7">
        <v>1.8</v>
      </c>
      <c r="Q7">
        <v>2</v>
      </c>
      <c r="S7">
        <v>2.2000000000000002</v>
      </c>
      <c r="T7">
        <v>2.4</v>
      </c>
      <c r="U7">
        <v>2.6</v>
      </c>
      <c r="V7">
        <v>2.8</v>
      </c>
    </row>
    <row r="8" spans="1:23" ht="15.5">
      <c r="A8" s="23" t="s">
        <v>51</v>
      </c>
      <c r="B8" s="20" t="s">
        <v>6</v>
      </c>
      <c r="C8" s="20"/>
      <c r="D8">
        <f>D7/(1+D7)</f>
        <v>0.58333333333333337</v>
      </c>
      <c r="E8">
        <f>E7/(1+E7)</f>
        <v>0.61538461538461542</v>
      </c>
      <c r="F8">
        <f>F7/(1+F7)</f>
        <v>0.6428571428571429</v>
      </c>
      <c r="G8">
        <f>G7/(1+G7)</f>
        <v>0.66666666666666663</v>
      </c>
      <c r="I8">
        <f>I7/(1+I7)</f>
        <v>0.6875</v>
      </c>
      <c r="J8">
        <f>J7/(1+J7)</f>
        <v>0.70588235294117652</v>
      </c>
      <c r="K8">
        <f>K7/(1+K7)</f>
        <v>0.72222222222222221</v>
      </c>
      <c r="L8">
        <f>L7/(1+L7)</f>
        <v>0.73684210526315785</v>
      </c>
      <c r="N8">
        <f>N7/(1+N7)</f>
        <v>0.58333333333333337</v>
      </c>
      <c r="O8">
        <f>O7/(1+O7)</f>
        <v>0.61538461538461542</v>
      </c>
      <c r="P8">
        <f>P7/(1+P7)</f>
        <v>0.6428571428571429</v>
      </c>
      <c r="Q8">
        <f>Q7/(1+Q7)</f>
        <v>0.66666666666666663</v>
      </c>
      <c r="S8" s="60">
        <f>S7/(1+S7)</f>
        <v>0.6875</v>
      </c>
      <c r="T8">
        <f>T7/(1+T7)</f>
        <v>0.70588235294117652</v>
      </c>
      <c r="U8">
        <f>U7/(1+U7)</f>
        <v>0.72222222222222221</v>
      </c>
      <c r="V8">
        <f>V7/(1+V7)</f>
        <v>0.73684210526315785</v>
      </c>
    </row>
    <row r="9" spans="1:23">
      <c r="A9" s="24"/>
      <c r="B9" s="20" t="s">
        <v>7</v>
      </c>
      <c r="C9" s="20"/>
      <c r="D9">
        <f>1/(1+D7)</f>
        <v>0.41666666666666669</v>
      </c>
      <c r="E9">
        <f>1/(1+E7)</f>
        <v>0.38461538461538458</v>
      </c>
      <c r="F9">
        <f>1/(1+F7)</f>
        <v>0.35714285714285715</v>
      </c>
      <c r="G9">
        <f>1/(1+G7)</f>
        <v>0.33333333333333331</v>
      </c>
      <c r="I9">
        <f>1/(1+I7)</f>
        <v>0.3125</v>
      </c>
      <c r="J9">
        <f>1/(1+J7)</f>
        <v>0.29411764705882354</v>
      </c>
      <c r="K9">
        <f>1/(1+K7)</f>
        <v>0.27777777777777779</v>
      </c>
      <c r="L9">
        <f>1/(1+L7)</f>
        <v>0.26315789473684209</v>
      </c>
      <c r="N9">
        <f>1/(1+N7)</f>
        <v>0.41666666666666669</v>
      </c>
      <c r="O9">
        <f>1/(1+O7)</f>
        <v>0.38461538461538458</v>
      </c>
      <c r="P9">
        <f>1/(1+P7)</f>
        <v>0.35714285714285715</v>
      </c>
      <c r="Q9">
        <f>1/(1+Q7)</f>
        <v>0.33333333333333331</v>
      </c>
      <c r="S9" s="60">
        <f>1/(1+S7)</f>
        <v>0.3125</v>
      </c>
      <c r="T9">
        <f>1/(1+T7)</f>
        <v>0.29411764705882354</v>
      </c>
      <c r="U9">
        <f>1/(1+U7)</f>
        <v>0.27777777777777779</v>
      </c>
      <c r="V9">
        <f>1/(1+V7)</f>
        <v>0.26315789473684209</v>
      </c>
    </row>
    <row r="10" spans="1:23" ht="15.5">
      <c r="B10" s="20" t="s">
        <v>52</v>
      </c>
      <c r="D10">
        <f>D4*D9</f>
        <v>4.166666666666667</v>
      </c>
      <c r="E10">
        <f>E4*E9</f>
        <v>3.8461538461538458</v>
      </c>
      <c r="F10">
        <f>F4*F9</f>
        <v>3.5714285714285716</v>
      </c>
      <c r="G10">
        <f>G4*G9</f>
        <v>3.333333333333333</v>
      </c>
      <c r="H10" s="2"/>
      <c r="I10">
        <f>I4*I9</f>
        <v>3.125</v>
      </c>
      <c r="J10">
        <f>J4*J9</f>
        <v>2.9411764705882355</v>
      </c>
      <c r="K10">
        <f>K4*K9</f>
        <v>2.7777777777777777</v>
      </c>
      <c r="L10">
        <f>L4*L9</f>
        <v>2.6315789473684208</v>
      </c>
      <c r="N10">
        <f>N4*N9</f>
        <v>4.166666666666667</v>
      </c>
      <c r="O10">
        <f>O4*O9</f>
        <v>3.8461538461538458</v>
      </c>
      <c r="P10">
        <f>P4*P9</f>
        <v>3.5714285714285716</v>
      </c>
      <c r="Q10">
        <f>Q4*Q9</f>
        <v>3.333333333333333</v>
      </c>
      <c r="S10" s="60">
        <f>S4*S9</f>
        <v>3.125</v>
      </c>
      <c r="T10">
        <f>T4*T9</f>
        <v>2.9411764705882355</v>
      </c>
      <c r="U10">
        <f>U4*U9</f>
        <v>2.7777777777777777</v>
      </c>
      <c r="V10">
        <f>V4*V9</f>
        <v>2.6315789473684208</v>
      </c>
    </row>
    <row r="11" spans="1:23">
      <c r="E11" s="2"/>
      <c r="F11" s="2"/>
      <c r="G11" s="2"/>
      <c r="H11" s="2"/>
      <c r="I11" s="2"/>
      <c r="J11" s="2"/>
      <c r="K11" s="2"/>
      <c r="L11" s="2"/>
      <c r="N11" s="2"/>
      <c r="O11" s="2"/>
      <c r="P11" s="2"/>
      <c r="Q11" s="2"/>
      <c r="S11" s="2"/>
      <c r="T11" s="2"/>
      <c r="U11" s="2"/>
      <c r="V11" s="2"/>
    </row>
    <row r="12" spans="1:23" ht="13">
      <c r="B12" s="20" t="s">
        <v>9</v>
      </c>
      <c r="C12" s="20"/>
      <c r="D12" s="8" t="s">
        <v>11</v>
      </c>
      <c r="E12" s="8" t="s">
        <v>11</v>
      </c>
      <c r="F12" s="8" t="s">
        <v>11</v>
      </c>
      <c r="G12" s="8" t="s">
        <v>11</v>
      </c>
      <c r="H12" s="2"/>
      <c r="I12" s="8" t="s">
        <v>11</v>
      </c>
      <c r="J12" s="8" t="s">
        <v>11</v>
      </c>
      <c r="K12" s="8" t="s">
        <v>11</v>
      </c>
      <c r="L12" s="8" t="s">
        <v>11</v>
      </c>
      <c r="N12" s="8" t="s">
        <v>11</v>
      </c>
      <c r="O12" s="8" t="s">
        <v>11</v>
      </c>
      <c r="P12" s="8" t="s">
        <v>11</v>
      </c>
      <c r="Q12" s="8" t="s">
        <v>11</v>
      </c>
      <c r="S12" s="8" t="s">
        <v>11</v>
      </c>
      <c r="T12" s="8" t="s">
        <v>11</v>
      </c>
      <c r="U12" s="8" t="s">
        <v>11</v>
      </c>
      <c r="V12" s="8" t="s">
        <v>11</v>
      </c>
    </row>
    <row r="13" spans="1:23"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2"/>
      <c r="S13" s="2"/>
      <c r="T13" s="2"/>
      <c r="U13" s="2"/>
      <c r="V13" s="2"/>
    </row>
    <row r="14" spans="1:23" ht="13">
      <c r="A14" s="44"/>
      <c r="B14" s="22" t="s">
        <v>53</v>
      </c>
      <c r="C14" s="22"/>
      <c r="D14" s="8"/>
      <c r="E14" s="8"/>
      <c r="F14" s="8"/>
      <c r="G14" s="8"/>
      <c r="H14" s="11"/>
      <c r="I14" s="8"/>
      <c r="J14" s="8"/>
      <c r="K14" s="8"/>
      <c r="L14" s="8"/>
      <c r="M14" s="45"/>
      <c r="N14" s="8"/>
      <c r="O14" s="8"/>
      <c r="P14" s="8"/>
      <c r="Q14" s="8"/>
      <c r="R14" s="45"/>
      <c r="S14" s="8"/>
      <c r="T14" s="8"/>
      <c r="U14" s="8"/>
      <c r="V14" s="8"/>
      <c r="W14" s="45"/>
    </row>
    <row r="15" spans="1:23" ht="15.5">
      <c r="A15" s="21" t="s">
        <v>54</v>
      </c>
      <c r="B15" s="20" t="s">
        <v>55</v>
      </c>
      <c r="C15" s="20"/>
      <c r="D15" s="58">
        <v>1.2123937</v>
      </c>
      <c r="E15" s="58">
        <v>0.74721875000000004</v>
      </c>
      <c r="F15" s="58">
        <v>0.37036227999999999</v>
      </c>
      <c r="G15" s="58">
        <v>9.1124753000000003E-2</v>
      </c>
      <c r="H15" s="47"/>
      <c r="I15" s="59">
        <v>1.9982523000000001E-8</v>
      </c>
      <c r="J15" s="59">
        <v>2.0258577E-8</v>
      </c>
      <c r="K15" s="59">
        <v>1.6915844000000001E-8</v>
      </c>
      <c r="L15" s="59">
        <v>1.3652696999999999E-8</v>
      </c>
      <c r="M15" s="48"/>
      <c r="N15" s="58">
        <v>1.1402835</v>
      </c>
      <c r="O15" s="58">
        <v>0.68563101999999998</v>
      </c>
      <c r="P15" s="58">
        <v>0.32837711000000003</v>
      </c>
      <c r="Q15" s="58">
        <v>7.6689610000000005E-2</v>
      </c>
      <c r="R15" s="48"/>
      <c r="S15" s="59">
        <v>6.0262896999999999E-8</v>
      </c>
      <c r="T15" s="59">
        <v>5.9835945999999997E-8</v>
      </c>
      <c r="U15" s="59">
        <v>4.9214865000000001E-8</v>
      </c>
      <c r="V15" s="59">
        <v>3.9198010000000001E-8</v>
      </c>
      <c r="W15" s="45"/>
    </row>
    <row r="16" spans="1:23" ht="15.5">
      <c r="A16" s="21"/>
      <c r="B16" s="20" t="s">
        <v>56</v>
      </c>
      <c r="C16" s="20"/>
      <c r="D16" s="58">
        <v>0</v>
      </c>
      <c r="E16" s="58">
        <v>2.9485136999999999E-4</v>
      </c>
      <c r="F16" s="58">
        <v>0</v>
      </c>
      <c r="G16" s="58">
        <v>0</v>
      </c>
      <c r="H16" s="47"/>
      <c r="I16" s="58">
        <v>0.37823430000000002</v>
      </c>
      <c r="J16" s="58">
        <v>0.94317777000000003</v>
      </c>
      <c r="K16" s="58">
        <v>1.4461708</v>
      </c>
      <c r="L16" s="58">
        <v>1.8965692999999999</v>
      </c>
      <c r="M16" s="48"/>
      <c r="N16" s="58">
        <v>0</v>
      </c>
      <c r="O16" s="58">
        <v>4.8601254999999999E-4</v>
      </c>
      <c r="P16" s="58">
        <v>2.7561969000000001E-4</v>
      </c>
      <c r="Q16" s="58">
        <v>0</v>
      </c>
      <c r="R16" s="48"/>
      <c r="S16" s="58">
        <v>0.38159652999999999</v>
      </c>
      <c r="T16" s="58">
        <v>0.94419883000000004</v>
      </c>
      <c r="U16" s="58">
        <v>1.4458913</v>
      </c>
      <c r="V16" s="58">
        <v>1.8955127000000001</v>
      </c>
      <c r="W16" s="45"/>
    </row>
    <row r="17" spans="1:23" ht="15.5">
      <c r="A17" s="21" t="s">
        <v>57</v>
      </c>
      <c r="B17" s="20" t="s">
        <v>58</v>
      </c>
      <c r="C17" s="20"/>
      <c r="D17" s="58">
        <v>2.8128517999999998</v>
      </c>
      <c r="E17" s="58">
        <v>2.9863479000000002</v>
      </c>
      <c r="F17" s="58">
        <v>3.1275114999999998</v>
      </c>
      <c r="G17" s="58">
        <v>3.2140102000000002</v>
      </c>
      <c r="H17" s="47"/>
      <c r="I17" s="58">
        <v>3.1180450999999998</v>
      </c>
      <c r="J17" s="58">
        <v>2.9363603999999999</v>
      </c>
      <c r="K17" s="58">
        <v>2.7742387000000002</v>
      </c>
      <c r="L17" s="58">
        <v>2.6288801999999998</v>
      </c>
      <c r="M17" s="48"/>
      <c r="N17" s="58">
        <v>2.7843189000000002</v>
      </c>
      <c r="O17" s="58">
        <v>2.9689949000000002</v>
      </c>
      <c r="P17" s="58">
        <v>3.1189841</v>
      </c>
      <c r="Q17" s="58">
        <v>3.2093360999999998</v>
      </c>
      <c r="R17" s="48"/>
      <c r="S17" s="58">
        <v>3.1123994000000001</v>
      </c>
      <c r="T17" s="58">
        <v>2.9324669000000001</v>
      </c>
      <c r="U17" s="58">
        <v>2.7713988000000001</v>
      </c>
      <c r="V17" s="58">
        <v>2.6267331</v>
      </c>
      <c r="W17" s="45"/>
    </row>
    <row r="18" spans="1:23" ht="15.5">
      <c r="A18" s="21"/>
      <c r="B18" s="20" t="s">
        <v>59</v>
      </c>
      <c r="C18" s="20"/>
      <c r="D18" s="58">
        <v>7.0710547999999998E-2</v>
      </c>
      <c r="E18" s="58">
        <v>5.6293616999999997E-2</v>
      </c>
      <c r="F18" s="58">
        <v>3.6777378999999999E-2</v>
      </c>
      <c r="G18" s="58">
        <v>1.4099178E-2</v>
      </c>
      <c r="H18" s="47"/>
      <c r="I18" s="58">
        <v>3.4774389000000001E-3</v>
      </c>
      <c r="J18" s="58">
        <v>2.4080389999999998E-3</v>
      </c>
      <c r="K18" s="58">
        <v>1.7695483E-3</v>
      </c>
      <c r="L18" s="58">
        <v>1.3493607E-3</v>
      </c>
      <c r="M18" s="48"/>
      <c r="N18" s="58">
        <v>0.12103215000000001</v>
      </c>
      <c r="O18" s="58">
        <v>9.5763960999999995E-2</v>
      </c>
      <c r="P18" s="58">
        <v>6.2033680000000001E-2</v>
      </c>
      <c r="Q18" s="58">
        <v>2.3653819E-2</v>
      </c>
      <c r="R18" s="48"/>
      <c r="S18" s="58">
        <v>6.3002893999999999E-3</v>
      </c>
      <c r="T18" s="58">
        <v>4.3547354000000003E-3</v>
      </c>
      <c r="U18" s="58">
        <v>3.1894897E-3</v>
      </c>
      <c r="V18" s="58">
        <v>2.4229009999999999E-3</v>
      </c>
      <c r="W18" s="45"/>
    </row>
    <row r="19" spans="1:23">
      <c r="A19" s="21" t="s">
        <v>60</v>
      </c>
      <c r="B19" s="45"/>
      <c r="C19" s="45"/>
      <c r="D19" s="47"/>
      <c r="E19" s="47"/>
      <c r="F19" s="47"/>
      <c r="G19" s="47"/>
      <c r="H19" s="47"/>
      <c r="I19" s="47"/>
      <c r="J19" s="47"/>
      <c r="K19" s="47"/>
      <c r="L19" s="47"/>
      <c r="M19" s="48"/>
      <c r="N19" s="47"/>
      <c r="O19" s="47"/>
      <c r="P19" s="47"/>
      <c r="Q19" s="47"/>
      <c r="R19" s="48"/>
      <c r="S19" s="47"/>
      <c r="T19" s="47"/>
      <c r="U19" s="47"/>
      <c r="V19" s="47"/>
      <c r="W19" s="45"/>
    </row>
    <row r="20" spans="1:23" ht="15.5">
      <c r="A20" s="21"/>
      <c r="B20" s="20" t="s">
        <v>61</v>
      </c>
      <c r="C20" s="11">
        <v>5</v>
      </c>
      <c r="D20" s="58">
        <v>2.4949417000000002E-2</v>
      </c>
      <c r="E20" s="58">
        <v>2.5639476000000001E-2</v>
      </c>
      <c r="F20" s="58">
        <v>2.5768655000000001E-2</v>
      </c>
      <c r="G20" s="58">
        <v>2.5118728999999999E-2</v>
      </c>
      <c r="H20" s="47"/>
      <c r="I20" s="58">
        <v>2.3169909999999998E-2</v>
      </c>
      <c r="J20" s="58">
        <v>2.1091543000000001E-2</v>
      </c>
      <c r="K20" s="58">
        <v>1.9311385E-2</v>
      </c>
      <c r="L20" s="58">
        <v>1.7772665E-2</v>
      </c>
      <c r="M20" s="48"/>
      <c r="N20" s="58">
        <v>2.7659824E-2</v>
      </c>
      <c r="O20" s="58">
        <v>2.8433742000000001E-2</v>
      </c>
      <c r="P20" s="58">
        <v>2.8538279999999999E-2</v>
      </c>
      <c r="Q20" s="58">
        <v>2.7750502999999999E-2</v>
      </c>
      <c r="R20" s="48"/>
      <c r="S20" s="58">
        <v>2.5595264999999999E-2</v>
      </c>
      <c r="T20" s="58">
        <v>2.3332861999999999E-2</v>
      </c>
      <c r="U20" s="58">
        <v>2.1389057999999999E-2</v>
      </c>
      <c r="V20" s="58">
        <v>1.9704946000000001E-2</v>
      </c>
      <c r="W20" s="45"/>
    </row>
    <row r="21" spans="1:23" ht="15.5">
      <c r="A21" s="21" t="s">
        <v>48</v>
      </c>
      <c r="B21" s="20" t="s">
        <v>62</v>
      </c>
      <c r="C21" s="11">
        <v>6</v>
      </c>
      <c r="D21" s="58">
        <v>2.1899004E-2</v>
      </c>
      <c r="E21" s="58">
        <v>2.2565321999999999E-2</v>
      </c>
      <c r="F21" s="58">
        <v>2.2754706999999999E-2</v>
      </c>
      <c r="G21" s="58">
        <v>2.2270208E-2</v>
      </c>
      <c r="H21" s="47"/>
      <c r="I21" s="58">
        <v>2.0615904000000001E-2</v>
      </c>
      <c r="J21" s="58">
        <v>1.8816228000000001E-2</v>
      </c>
      <c r="K21" s="58">
        <v>1.7268817999999998E-2</v>
      </c>
      <c r="L21" s="58">
        <v>1.5926764999999999E-2</v>
      </c>
      <c r="M21" s="48"/>
      <c r="N21" s="58">
        <v>2.4045081999999999E-2</v>
      </c>
      <c r="O21" s="58">
        <v>2.4790000999999999E-2</v>
      </c>
      <c r="P21" s="58">
        <v>2.4971144000000001E-2</v>
      </c>
      <c r="Q21" s="58">
        <v>2.4386358E-2</v>
      </c>
      <c r="R21" s="48"/>
      <c r="S21" s="58">
        <v>2.2577E-2</v>
      </c>
      <c r="T21" s="58">
        <v>2.0639240999999999E-2</v>
      </c>
      <c r="U21" s="58">
        <v>1.8967428000000001E-2</v>
      </c>
      <c r="V21" s="58">
        <v>1.7513705000000001E-2</v>
      </c>
      <c r="W21" s="45"/>
    </row>
    <row r="22" spans="1:23" ht="15.5">
      <c r="A22" s="21"/>
      <c r="B22" s="20" t="s">
        <v>63</v>
      </c>
      <c r="C22" s="11">
        <v>7</v>
      </c>
      <c r="D22" s="58">
        <v>1.9224115999999999E-2</v>
      </c>
      <c r="E22" s="58">
        <v>1.9861980000000001E-2</v>
      </c>
      <c r="F22" s="58">
        <v>2.0095089999999999E-2</v>
      </c>
      <c r="G22" s="58">
        <v>1.9746377999999998E-2</v>
      </c>
      <c r="H22" s="47"/>
      <c r="I22" s="58">
        <v>1.8345229000000001E-2</v>
      </c>
      <c r="J22" s="58">
        <v>1.6787982E-2</v>
      </c>
      <c r="K22" s="58">
        <v>1.5443758E-2</v>
      </c>
      <c r="L22" s="58">
        <v>1.4273927E-2</v>
      </c>
      <c r="M22" s="48"/>
      <c r="N22" s="58">
        <v>2.0905863E-2</v>
      </c>
      <c r="O22" s="58">
        <v>2.1615899000000001E-2</v>
      </c>
      <c r="P22" s="58">
        <v>2.1852091000000001E-2</v>
      </c>
      <c r="Q22" s="58">
        <v>2.1432099999999999E-2</v>
      </c>
      <c r="R22" s="48"/>
      <c r="S22" s="58">
        <v>1.9916876999999999E-2</v>
      </c>
      <c r="T22" s="58">
        <v>1.8258567999999999E-2</v>
      </c>
      <c r="U22" s="58">
        <v>1.6821777E-2</v>
      </c>
      <c r="V22" s="58">
        <v>1.5567796E-2</v>
      </c>
      <c r="W22" s="45"/>
    </row>
    <row r="23" spans="1:23" ht="15.5">
      <c r="A23" s="21" t="s">
        <v>64</v>
      </c>
      <c r="B23" s="20" t="s">
        <v>65</v>
      </c>
      <c r="C23" s="11">
        <v>8</v>
      </c>
      <c r="D23" s="58">
        <v>1.6878279E-2</v>
      </c>
      <c r="E23" s="58">
        <v>1.7484522999999998E-2</v>
      </c>
      <c r="F23" s="58">
        <v>1.7747995999999999E-2</v>
      </c>
      <c r="G23" s="58">
        <v>1.7510090999999998E-2</v>
      </c>
      <c r="H23" s="47"/>
      <c r="I23" s="58">
        <v>1.6326309000000001E-2</v>
      </c>
      <c r="J23" s="58">
        <v>1.4979855E-2</v>
      </c>
      <c r="K23" s="58">
        <v>1.3812935E-2</v>
      </c>
      <c r="L23" s="58">
        <v>1.2793863000000001E-2</v>
      </c>
      <c r="M23" s="48"/>
      <c r="N23" s="58">
        <v>1.8179295000000002E-2</v>
      </c>
      <c r="O23" s="58">
        <v>1.8850644999999999E-2</v>
      </c>
      <c r="P23" s="58">
        <v>1.9124637E-2</v>
      </c>
      <c r="Q23" s="58">
        <v>1.8837610000000001E-2</v>
      </c>
      <c r="R23" s="48"/>
      <c r="S23" s="58">
        <v>1.7572213E-2</v>
      </c>
      <c r="T23" s="58">
        <v>1.6154324000000001E-2</v>
      </c>
      <c r="U23" s="58">
        <v>1.4920513E-2</v>
      </c>
      <c r="V23" s="58">
        <v>1.3839627E-2</v>
      </c>
      <c r="W23" s="45"/>
    </row>
    <row r="24" spans="1:23" ht="15.5">
      <c r="A24" s="21"/>
      <c r="B24" s="20" t="s">
        <v>66</v>
      </c>
      <c r="C24" s="11">
        <v>9</v>
      </c>
      <c r="D24" s="58">
        <v>1.4820797E-2</v>
      </c>
      <c r="E24" s="58">
        <v>1.5393485E-2</v>
      </c>
      <c r="F24" s="58">
        <v>1.5676562000000002E-2</v>
      </c>
      <c r="G24" s="58">
        <v>1.5528462999999999E-2</v>
      </c>
      <c r="H24" s="47"/>
      <c r="I24" s="58">
        <v>1.4531102000000001E-2</v>
      </c>
      <c r="J24" s="58">
        <v>1.3367843000000001E-2</v>
      </c>
      <c r="K24" s="58">
        <v>1.2355577E-2</v>
      </c>
      <c r="L24" s="58">
        <v>1.1468422000000001E-2</v>
      </c>
      <c r="M24" s="48"/>
      <c r="N24" s="58">
        <v>1.5810853999999999E-2</v>
      </c>
      <c r="O24" s="58">
        <v>1.6441346999999999E-2</v>
      </c>
      <c r="P24" s="58">
        <v>1.6739437999999999E-2</v>
      </c>
      <c r="Q24" s="58">
        <v>1.6558910999999999E-2</v>
      </c>
      <c r="R24" s="48"/>
      <c r="S24" s="58">
        <v>1.5505430000000001E-2</v>
      </c>
      <c r="T24" s="58">
        <v>1.4294263999999999E-2</v>
      </c>
      <c r="U24" s="58">
        <v>1.323567E-2</v>
      </c>
      <c r="V24" s="58">
        <v>1.2304717E-2</v>
      </c>
      <c r="W24" s="45"/>
    </row>
    <row r="25" spans="1:23" ht="15.5">
      <c r="A25" s="21" t="s">
        <v>60</v>
      </c>
      <c r="B25" s="20" t="s">
        <v>67</v>
      </c>
      <c r="C25" s="11">
        <v>10</v>
      </c>
      <c r="D25" s="58">
        <v>1.3016029E-2</v>
      </c>
      <c r="E25" s="58">
        <v>1.3554198999999999E-2</v>
      </c>
      <c r="F25" s="58">
        <v>1.3848287000000001E-2</v>
      </c>
      <c r="G25" s="58">
        <v>1.3772382E-2</v>
      </c>
      <c r="H25" s="47"/>
      <c r="I25" s="58">
        <v>1.2934701E-2</v>
      </c>
      <c r="J25" s="58">
        <v>1.1930573E-2</v>
      </c>
      <c r="K25" s="58">
        <v>1.1053141000000001E-2</v>
      </c>
      <c r="L25" s="58">
        <v>1.0281368000000001E-2</v>
      </c>
      <c r="M25" s="48"/>
      <c r="N25" s="58">
        <v>1.3753249E-2</v>
      </c>
      <c r="O25" s="58">
        <v>1.4341977000000001E-2</v>
      </c>
      <c r="P25" s="58">
        <v>1.4653387E-2</v>
      </c>
      <c r="Q25" s="58">
        <v>1.4557419E-2</v>
      </c>
      <c r="R25" s="48"/>
      <c r="S25" s="58">
        <v>1.368344E-2</v>
      </c>
      <c r="T25" s="58">
        <v>1.2649919000000001E-2</v>
      </c>
      <c r="U25" s="58">
        <v>1.1742496E-2</v>
      </c>
      <c r="V25" s="58">
        <v>1.0941348E-2</v>
      </c>
      <c r="W25" s="45"/>
    </row>
    <row r="26" spans="1:23" ht="15.5">
      <c r="A26" s="21"/>
      <c r="B26" s="20" t="s">
        <v>68</v>
      </c>
      <c r="C26" s="11">
        <v>11</v>
      </c>
      <c r="D26" s="58">
        <v>1.143276E-2</v>
      </c>
      <c r="E26" s="58">
        <v>1.1936208E-2</v>
      </c>
      <c r="F26" s="58">
        <v>1.2234515E-2</v>
      </c>
      <c r="G26" s="58">
        <v>1.2216072999999999E-2</v>
      </c>
      <c r="H26" s="47"/>
      <c r="I26" s="58">
        <v>1.1514979E-2</v>
      </c>
      <c r="J26" s="58">
        <v>1.0649007E-2</v>
      </c>
      <c r="K26" s="58">
        <v>9.8890738999999998E-3</v>
      </c>
      <c r="L26" s="58">
        <v>9.2181777999999995E-3</v>
      </c>
      <c r="M26" s="48"/>
      <c r="N26" s="58">
        <v>1.1965464E-2</v>
      </c>
      <c r="O26" s="58">
        <v>1.2512482E-2</v>
      </c>
      <c r="P26" s="58">
        <v>1.2828819E-2</v>
      </c>
      <c r="Q26" s="58">
        <v>1.279928E-2</v>
      </c>
      <c r="R26" s="48"/>
      <c r="S26" s="58">
        <v>1.2077111E-2</v>
      </c>
      <c r="T26" s="58">
        <v>1.119615E-2</v>
      </c>
      <c r="U26" s="58">
        <v>1.0419077000000001E-2</v>
      </c>
      <c r="V26" s="58">
        <v>9.7302515999999999E-3</v>
      </c>
      <c r="W26" s="45"/>
    </row>
    <row r="27" spans="1:23" ht="15">
      <c r="A27" s="21" t="s">
        <v>69</v>
      </c>
      <c r="B27" s="28" t="s">
        <v>70</v>
      </c>
      <c r="C27" s="20"/>
      <c r="D27" s="47">
        <f t="shared" ref="D27:E27" si="0">SUM(D20:D26)</f>
        <v>0.12222040199999999</v>
      </c>
      <c r="E27" s="47">
        <f t="shared" si="0"/>
        <v>0.126435193</v>
      </c>
      <c r="F27" s="47">
        <f>SUM(F20:F26)</f>
        <v>0.12812581200000001</v>
      </c>
      <c r="G27" s="47">
        <f t="shared" ref="G27" si="1">SUM(G20:G26)</f>
        <v>0.12616232399999999</v>
      </c>
      <c r="H27" s="47"/>
      <c r="I27" s="47">
        <f t="shared" ref="I27" si="2">SUM(I20:I26)</f>
        <v>0.11743813399999999</v>
      </c>
      <c r="J27" s="47">
        <f t="shared" ref="J27" si="3">SUM(J20:J26)</f>
        <v>0.10762303100000001</v>
      </c>
      <c r="K27" s="47">
        <f>SUM(K20:K26)</f>
        <v>9.9134687900000018E-2</v>
      </c>
      <c r="L27" s="47">
        <f t="shared" ref="L27" si="4">SUM(L20:L26)</f>
        <v>9.1735187800000006E-2</v>
      </c>
      <c r="M27" s="48"/>
      <c r="N27" s="47">
        <f t="shared" ref="N27" si="5">SUM(N20:N26)</f>
        <v>0.13231963099999999</v>
      </c>
      <c r="O27" s="47">
        <f t="shared" ref="O27" si="6">SUM(O20:O26)</f>
        <v>0.136986093</v>
      </c>
      <c r="P27" s="47">
        <f>SUM(P20:P26)</f>
        <v>0.13870779599999999</v>
      </c>
      <c r="Q27" s="47">
        <f t="shared" ref="Q27" si="7">SUM(Q20:Q26)</f>
        <v>0.13632218100000001</v>
      </c>
      <c r="R27" s="47"/>
      <c r="S27" s="47">
        <f t="shared" ref="S27" si="8">SUM(S20:S26)</f>
        <v>0.126927336</v>
      </c>
      <c r="T27" s="47">
        <f t="shared" ref="T27" si="9">SUM(T20:T26)</f>
        <v>0.116525328</v>
      </c>
      <c r="U27" s="47">
        <f>SUM(U20:U26)</f>
        <v>0.107496019</v>
      </c>
      <c r="V27" s="47">
        <f t="shared" ref="V27" si="10">SUM(V20:V26)</f>
        <v>9.9602390600000007E-2</v>
      </c>
      <c r="W27" s="45"/>
    </row>
    <row r="28" spans="1:23">
      <c r="A28" s="21"/>
      <c r="B28" s="20"/>
      <c r="C28" s="20"/>
      <c r="D28" s="47"/>
      <c r="E28" s="47"/>
      <c r="F28" s="47"/>
      <c r="G28" s="47"/>
      <c r="H28" s="47"/>
      <c r="I28" s="47"/>
      <c r="J28" s="47"/>
      <c r="K28" s="47"/>
      <c r="L28" s="47"/>
      <c r="M28" s="48"/>
      <c r="N28" s="47"/>
      <c r="O28" s="47"/>
      <c r="P28" s="47"/>
      <c r="Q28" s="47"/>
      <c r="R28" s="48"/>
      <c r="S28" s="47"/>
      <c r="T28" s="47"/>
      <c r="U28" s="47"/>
      <c r="V28" s="47"/>
      <c r="W28" s="45"/>
    </row>
    <row r="29" spans="1:23" ht="15.5">
      <c r="A29" s="23" t="s">
        <v>71</v>
      </c>
      <c r="B29" s="20" t="s">
        <v>72</v>
      </c>
      <c r="C29" s="20"/>
      <c r="D29" s="58">
        <v>0.1230324</v>
      </c>
      <c r="E29" s="58">
        <v>0.13092253000000001</v>
      </c>
      <c r="F29" s="58">
        <v>0.13763226000000001</v>
      </c>
      <c r="G29" s="58">
        <v>0.14242077</v>
      </c>
      <c r="H29" s="47"/>
      <c r="I29" s="58">
        <v>0.13975992000000001</v>
      </c>
      <c r="J29" s="58">
        <v>0.13289395000000001</v>
      </c>
      <c r="K29" s="58">
        <v>0.12666981999999999</v>
      </c>
      <c r="L29" s="58">
        <v>0.12100674</v>
      </c>
      <c r="M29" s="48"/>
      <c r="N29" s="58">
        <v>0.11997223</v>
      </c>
      <c r="O29" s="58">
        <v>0.12766902999999999</v>
      </c>
      <c r="P29" s="58">
        <v>0.13401450000000001</v>
      </c>
      <c r="Q29" s="58">
        <v>0.13823732</v>
      </c>
      <c r="R29" s="48"/>
      <c r="S29" s="58">
        <v>0.13537713000000001</v>
      </c>
      <c r="T29" s="58">
        <v>0.12881076</v>
      </c>
      <c r="U29" s="58">
        <v>0.12284788000000001</v>
      </c>
      <c r="V29" s="58">
        <v>0.1174168</v>
      </c>
      <c r="W29" s="45"/>
    </row>
    <row r="30" spans="1:23">
      <c r="A30" s="51"/>
      <c r="B30" s="20"/>
      <c r="C30" s="20"/>
      <c r="D30" s="47"/>
      <c r="E30" s="47"/>
      <c r="F30" s="47"/>
      <c r="G30" s="47"/>
      <c r="H30" s="47"/>
      <c r="I30" s="47"/>
      <c r="J30" s="47"/>
      <c r="K30" s="47"/>
      <c r="L30" s="47"/>
      <c r="M30" s="48"/>
      <c r="N30" s="47"/>
      <c r="O30" s="47"/>
      <c r="P30" s="47"/>
      <c r="Q30" s="47"/>
      <c r="R30" s="48"/>
      <c r="S30" s="47"/>
      <c r="T30" s="47"/>
      <c r="U30" s="47"/>
      <c r="V30" s="47"/>
      <c r="W30" s="45"/>
    </row>
    <row r="31" spans="1:23" ht="15.5">
      <c r="A31" s="32"/>
      <c r="B31" s="33" t="s">
        <v>73</v>
      </c>
      <c r="C31" s="33"/>
      <c r="D31" s="52">
        <f>SUM(D15:D18)+D27+D29</f>
        <v>4.3412088499999992</v>
      </c>
      <c r="E31" s="52">
        <f>SUM(E15:E18)+E27+E29</f>
        <v>4.0475128413700006</v>
      </c>
      <c r="F31" s="52">
        <f>SUM(F15:F18)+F27+F29</f>
        <v>3.8004092310000002</v>
      </c>
      <c r="G31" s="52">
        <f>SUM(G15:G18)+G27+G29</f>
        <v>3.5878172250000002</v>
      </c>
      <c r="H31" s="47"/>
      <c r="I31" s="52">
        <f>SUM(I15:I18)+I27+I29</f>
        <v>3.7569549128825228</v>
      </c>
      <c r="J31" s="52">
        <f>SUM(J15:J18)+J27+J29</f>
        <v>4.1224632102585774</v>
      </c>
      <c r="K31" s="52">
        <f>SUM(K15:K18)+K27+K29</f>
        <v>4.4479835731158452</v>
      </c>
      <c r="L31" s="52">
        <f>SUM(L15:L18)+L27+L29</f>
        <v>4.739540802152697</v>
      </c>
      <c r="M31" s="48"/>
      <c r="N31" s="52">
        <f>SUM(N15:N18)+N27+N29</f>
        <v>4.2979264110000006</v>
      </c>
      <c r="O31" s="52">
        <f>SUM(O15:O18)+O27+O29</f>
        <v>4.0155310165499998</v>
      </c>
      <c r="P31" s="52">
        <f>SUM(P15:P18)+P27+P29</f>
        <v>3.7823928056899998</v>
      </c>
      <c r="Q31" s="52">
        <f>SUM(Q15:Q18)+Q27+Q29</f>
        <v>3.58423903</v>
      </c>
      <c r="R31" s="48"/>
      <c r="S31" s="52">
        <f>SUM(S15:S18)+S27+S29</f>
        <v>3.7626007456628972</v>
      </c>
      <c r="T31" s="52">
        <f>SUM(T15:T18)+T27+T29</f>
        <v>4.1263566132359459</v>
      </c>
      <c r="U31" s="52">
        <f>SUM(U15:U18)+U27+U29</f>
        <v>4.4508235379148653</v>
      </c>
      <c r="V31" s="52">
        <f>SUM(V15:V18)+V27+V29</f>
        <v>4.7416879307980109</v>
      </c>
      <c r="W31" s="45"/>
    </row>
    <row r="32" spans="1:23" ht="13">
      <c r="A32" s="35"/>
      <c r="B32" s="33"/>
      <c r="C32" s="33"/>
      <c r="D32" s="52"/>
      <c r="E32" s="52"/>
      <c r="F32" s="52"/>
      <c r="G32" s="52"/>
      <c r="H32" s="47"/>
      <c r="I32" s="52"/>
      <c r="J32" s="52"/>
      <c r="K32" s="52"/>
      <c r="L32" s="52"/>
      <c r="M32" s="48"/>
      <c r="N32" s="52"/>
      <c r="O32" s="52"/>
      <c r="P32" s="52"/>
      <c r="Q32" s="52"/>
      <c r="R32" s="48"/>
      <c r="S32" s="52"/>
      <c r="T32" s="52"/>
      <c r="U32" s="52"/>
      <c r="V32" s="52"/>
      <c r="W32" s="45"/>
    </row>
    <row r="33" spans="1:23" ht="13">
      <c r="A33" s="1" t="s">
        <v>74</v>
      </c>
      <c r="B33" s="1"/>
      <c r="C33" s="45"/>
      <c r="D33" s="45"/>
      <c r="E33" s="53"/>
      <c r="F33" s="53"/>
      <c r="G33" s="53"/>
      <c r="H33" s="47"/>
      <c r="I33" s="53"/>
      <c r="J33" s="53"/>
      <c r="K33" s="53"/>
      <c r="L33" s="53"/>
      <c r="M33" s="48"/>
      <c r="N33" s="53"/>
      <c r="O33" s="53"/>
      <c r="P33" s="53"/>
      <c r="Q33" s="53"/>
      <c r="R33" s="48"/>
      <c r="S33" s="53"/>
      <c r="T33" s="53"/>
      <c r="U33" s="53"/>
      <c r="V33" s="53"/>
      <c r="W33" s="45"/>
    </row>
    <row r="34" spans="1:23" ht="15.5">
      <c r="A34" s="45"/>
      <c r="B34" s="20" t="s">
        <v>83</v>
      </c>
      <c r="C34" s="45"/>
      <c r="D34" s="54">
        <f>(D4*D9 - D15)/(D4*D9)</f>
        <v>0.70902551200000008</v>
      </c>
      <c r="E34" s="54">
        <f>(E4*E9 - E15)/(E4*E9)</f>
        <v>0.80572312499999998</v>
      </c>
      <c r="F34" s="54">
        <f>(F4*F9 - F15)/(F4*F9)</f>
        <v>0.89629856159999999</v>
      </c>
      <c r="G34" s="54">
        <f>(G4*G9 - G15)/(G4*G9)</f>
        <v>0.97266257410000001</v>
      </c>
      <c r="H34" s="47"/>
      <c r="I34" s="54">
        <f>(I4*I9 - I15)/(I4*I9)</f>
        <v>0.99999999360559255</v>
      </c>
      <c r="J34" s="54">
        <f>(J4*J9 - J15)/(J4*J9)</f>
        <v>0.99999999311208376</v>
      </c>
      <c r="K34" s="54">
        <f>(K4*K9 - K15)/(K4*K9)</f>
        <v>0.99999999391029626</v>
      </c>
      <c r="L34" s="54">
        <f>(L4*L9 - L15)/(L4*L9)</f>
        <v>0.9999999948119751</v>
      </c>
      <c r="M34" s="48"/>
      <c r="N34" s="54">
        <f>(N4*N9 - N15)/(N4*N9)</f>
        <v>0.72633196000000011</v>
      </c>
      <c r="O34" s="40">
        <f>(O4*O9 - O15)/(O4*O9)</f>
        <v>0.82173593480000007</v>
      </c>
      <c r="P34" s="40">
        <f>(P4*P9 - P15)/(P4*P9)</f>
        <v>0.90805440920000002</v>
      </c>
      <c r="Q34" s="40">
        <f>(Q4*Q9 - Q15)/(Q4*Q9)</f>
        <v>0.97699311700000002</v>
      </c>
      <c r="R34" s="48"/>
      <c r="S34" s="54">
        <f>(S4*S9 - S15)/(S4*S9)</f>
        <v>0.99999998071587304</v>
      </c>
      <c r="T34" s="54">
        <f>(T4*T9 - T15)/(T4*T9)</f>
        <v>0.99999997965577836</v>
      </c>
      <c r="U34" s="54">
        <f>(U4*U9 - U15)/(U4*U9)</f>
        <v>0.99999998228264853</v>
      </c>
      <c r="V34" s="54">
        <f>(V4*V9 - V15)/(V4*V9)</f>
        <v>0.99999998510475618</v>
      </c>
      <c r="W34" s="45"/>
    </row>
    <row r="35" spans="1:23">
      <c r="A35" s="45"/>
      <c r="B35" s="45"/>
      <c r="C35" s="45"/>
      <c r="D35" s="53"/>
      <c r="E35" s="53"/>
      <c r="F35" s="53"/>
      <c r="G35" s="53"/>
      <c r="H35" s="47"/>
      <c r="I35" s="53"/>
      <c r="J35" s="53"/>
      <c r="K35" s="53"/>
      <c r="L35" s="53"/>
      <c r="M35" s="48"/>
      <c r="N35" s="53"/>
      <c r="O35" s="53"/>
      <c r="P35" s="53"/>
      <c r="Q35" s="53"/>
      <c r="R35" s="48"/>
      <c r="S35" s="53"/>
      <c r="T35" s="53"/>
      <c r="U35" s="53"/>
      <c r="V35" s="53"/>
      <c r="W35" s="45"/>
    </row>
    <row r="36" spans="1:23" ht="15.5">
      <c r="A36" s="45"/>
      <c r="B36" s="45" t="s">
        <v>76</v>
      </c>
      <c r="C36" s="45"/>
      <c r="D36" s="53">
        <f>D29/D27</f>
        <v>1.0066437189430943</v>
      </c>
      <c r="E36" s="53">
        <f>E29/E27</f>
        <v>1.0354912022003242</v>
      </c>
      <c r="F36" s="53">
        <f>F29/F27</f>
        <v>1.07419619709415</v>
      </c>
      <c r="G36" s="53">
        <f>G29/G27</f>
        <v>1.1288692652808141</v>
      </c>
      <c r="H36" s="47"/>
      <c r="I36" s="53">
        <f>I29/I27</f>
        <v>1.190072723737249</v>
      </c>
      <c r="J36" s="53">
        <f>J29/J27</f>
        <v>1.2348095827184054</v>
      </c>
      <c r="K36" s="53">
        <f>K29/K27</f>
        <v>1.2777547666037488</v>
      </c>
      <c r="L36" s="53">
        <f>L29/L27</f>
        <v>1.3190875050456918</v>
      </c>
      <c r="M36" s="48"/>
      <c r="N36" s="53">
        <f>N29/N27</f>
        <v>0.90668504055909893</v>
      </c>
      <c r="O36" s="53">
        <f>O29/O27</f>
        <v>0.93198533664289551</v>
      </c>
      <c r="P36" s="53">
        <f>P29/P27</f>
        <v>0.96616415129254896</v>
      </c>
      <c r="Q36" s="53">
        <f>Q29/Q27</f>
        <v>1.0140486235325121</v>
      </c>
      <c r="R36" s="48"/>
      <c r="S36" s="53">
        <f>S29/S27</f>
        <v>1.0665719006345489</v>
      </c>
      <c r="T36" s="53">
        <f>T29/T27</f>
        <v>1.1054314303238864</v>
      </c>
      <c r="U36" s="53">
        <f>U29/U27</f>
        <v>1.1428132980440886</v>
      </c>
      <c r="V36" s="53">
        <f>V29/V27</f>
        <v>1.1788552392436251</v>
      </c>
      <c r="W36" s="45"/>
    </row>
    <row r="37" spans="1:23">
      <c r="A37" s="45"/>
      <c r="B37" s="45" t="s">
        <v>77</v>
      </c>
      <c r="C37" s="45"/>
      <c r="D37" s="53"/>
      <c r="E37" s="53"/>
      <c r="F37" s="53"/>
      <c r="G37" s="53"/>
      <c r="H37" s="47"/>
      <c r="I37" s="53"/>
      <c r="J37" s="53"/>
      <c r="K37" s="53"/>
      <c r="L37" s="53"/>
      <c r="M37" s="48"/>
      <c r="N37" s="53"/>
      <c r="O37" s="53"/>
      <c r="P37" s="53"/>
      <c r="Q37" s="53"/>
      <c r="R37" s="48"/>
      <c r="S37" s="53"/>
      <c r="T37" s="53"/>
      <c r="U37" s="53"/>
      <c r="V37" s="53"/>
      <c r="W37" s="45"/>
    </row>
    <row r="38" spans="1:23">
      <c r="A38" s="45"/>
      <c r="B38" s="45"/>
      <c r="C38" s="11" t="s">
        <v>78</v>
      </c>
      <c r="D38" s="53">
        <f>5*D20+6*D21+7*D22+8*D23+9*D24+10*D25+11*D26</f>
        <v>0.91504397600000009</v>
      </c>
      <c r="E38" s="53">
        <f>5*E20+6*E21+7*E22+8*E23+9*E24+10*E25+11*E26</f>
        <v>0.947880999</v>
      </c>
      <c r="F38" s="53">
        <f>5*F20+6*F21+7*F22+8*F23+9*F24+10*F25+11*F26</f>
        <v>0.96217270799999999</v>
      </c>
      <c r="G38" s="53">
        <f>5*G20+6*G21+7*G22+8*G23+9*G24+10*G25+11*G26</f>
        <v>0.94937705699999986</v>
      </c>
      <c r="H38" s="47"/>
      <c r="I38" s="53">
        <f>5*I20+6*I21+7*I22+8*I23+9*I24+10*I25+11*I26</f>
        <v>0.8853637459999999</v>
      </c>
      <c r="J38" s="53">
        <f>5*J20+6*J21+7*J22+8*J23+9*J24+10*J25+11*J26</f>
        <v>0.81246519100000003</v>
      </c>
      <c r="K38" s="53">
        <f>5*K20+6*K21+7*K22+8*K23+9*K24+10*K25+11*K26</f>
        <v>0.74929103489999993</v>
      </c>
      <c r="L38" s="53">
        <f>5*L20+6*L21+7*L22+8*L23+9*L24+10*L25+11*L26</f>
        <v>0.69412174180000008</v>
      </c>
      <c r="M38" s="48"/>
      <c r="N38" s="53">
        <f>5*N20+6*N21+7*N22+8*N23+9*N24+10*N25+11*N26</f>
        <v>0.98579529299999991</v>
      </c>
      <c r="O38" s="53">
        <f>5*O20+6*O21+7*O22+8*O23+9*O24+10*O25+11*O26</f>
        <v>1.0220543639999999</v>
      </c>
      <c r="P38" s="53">
        <f>5*P20+6*P21+7*P22+8*P23+9*P24+10*P25+11*P26</f>
        <v>1.036785818</v>
      </c>
      <c r="Q38" s="53">
        <f>5*Q20+6*Q21+7*Q22+8*Q23+9*Q24+10*Q25+11*Q26</f>
        <v>1.0211927119999999</v>
      </c>
      <c r="R38" s="48"/>
      <c r="S38" s="53">
        <f>5*S20+6*S21+7*S22+8*S23+9*S24+10*S25+11*S26</f>
        <v>0.952665659</v>
      </c>
      <c r="T38" s="53">
        <f>5*T20+6*T21+7*T22+8*T23+9*T24+10*T25+11*T26</f>
        <v>0.87584953999999993</v>
      </c>
      <c r="U38" s="53">
        <f>5*U20+6*U21+7*U22+8*U23+9*U24+10*U25+11*U26</f>
        <v>0.80902223799999995</v>
      </c>
      <c r="V38" s="53">
        <f>5*V20+6*V21+7*V22+8*V23+9*V24+10*V25+11*V26</f>
        <v>0.75048724860000005</v>
      </c>
      <c r="W38" s="45"/>
    </row>
    <row r="39" spans="1:23" ht="13">
      <c r="A39" s="11"/>
      <c r="B39" s="22" t="s">
        <v>32</v>
      </c>
      <c r="C39" s="11" t="s">
        <v>79</v>
      </c>
      <c r="D39" s="53">
        <f>D10</f>
        <v>4.166666666666667</v>
      </c>
      <c r="E39" s="53">
        <f>E10</f>
        <v>3.8461538461538458</v>
      </c>
      <c r="F39" s="53">
        <f>F10</f>
        <v>3.5714285714285716</v>
      </c>
      <c r="G39" s="53">
        <f>G10</f>
        <v>3.333333333333333</v>
      </c>
      <c r="H39" s="47"/>
      <c r="I39" s="53">
        <f>I10</f>
        <v>3.125</v>
      </c>
      <c r="J39" s="53">
        <f>J10</f>
        <v>2.9411764705882355</v>
      </c>
      <c r="K39" s="53">
        <f>K10</f>
        <v>2.7777777777777777</v>
      </c>
      <c r="L39" s="53">
        <f>L10</f>
        <v>2.6315789473684208</v>
      </c>
      <c r="M39" s="48"/>
      <c r="N39" s="53">
        <f>N10</f>
        <v>4.166666666666667</v>
      </c>
      <c r="O39" s="53">
        <f>O10</f>
        <v>3.8461538461538458</v>
      </c>
      <c r="P39" s="53">
        <f>P10</f>
        <v>3.5714285714285716</v>
      </c>
      <c r="Q39" s="53">
        <f>Q10</f>
        <v>3.333333333333333</v>
      </c>
      <c r="R39" s="48"/>
      <c r="S39" s="53">
        <f>S10</f>
        <v>3.125</v>
      </c>
      <c r="T39" s="53">
        <f>T10</f>
        <v>2.9411764705882355</v>
      </c>
      <c r="U39" s="53">
        <f>U10</f>
        <v>2.7777777777777777</v>
      </c>
      <c r="V39" s="53">
        <f>V10</f>
        <v>2.6315789473684208</v>
      </c>
      <c r="W39" s="45"/>
    </row>
    <row r="40" spans="1:23" ht="15.5">
      <c r="A40" s="45"/>
      <c r="B40" s="11" t="s">
        <v>80</v>
      </c>
      <c r="C40" s="11" t="s">
        <v>81</v>
      </c>
      <c r="D40" s="54">
        <f>D38/D39</f>
        <v>0.21961055424000001</v>
      </c>
      <c r="E40" s="54">
        <f>E38/E39</f>
        <v>0.24644905974000003</v>
      </c>
      <c r="F40" s="54">
        <f>F38/F39</f>
        <v>0.26940835823999998</v>
      </c>
      <c r="G40" s="54">
        <f>G38/G39</f>
        <v>0.28481311709999996</v>
      </c>
      <c r="H40" s="47"/>
      <c r="I40" s="41">
        <f>I38/I39</f>
        <v>0.28331639871999997</v>
      </c>
      <c r="J40" s="41">
        <f>J38/J39</f>
        <v>0.27623816493999998</v>
      </c>
      <c r="K40" s="41">
        <f>K38/K39</f>
        <v>0.26974477256399998</v>
      </c>
      <c r="L40" s="41">
        <f>L38/L39</f>
        <v>0.26376626188400004</v>
      </c>
      <c r="M40" s="48"/>
      <c r="N40" s="54">
        <f>N38/N39</f>
        <v>0.23659087031999995</v>
      </c>
      <c r="O40" s="42">
        <f>O38/O39</f>
        <v>0.26573413464000001</v>
      </c>
      <c r="P40" s="42">
        <f>P38/P39</f>
        <v>0.29030002904000002</v>
      </c>
      <c r="Q40" s="42">
        <f>Q38/Q39</f>
        <v>0.30635781360000003</v>
      </c>
      <c r="R40" s="47"/>
      <c r="S40" s="54">
        <f>S38/S39</f>
        <v>0.30485301088</v>
      </c>
      <c r="T40" s="54">
        <f>T38/T39</f>
        <v>0.29778884359999996</v>
      </c>
      <c r="U40" s="54">
        <f>U38/U39</f>
        <v>0.29124800567999998</v>
      </c>
      <c r="V40" s="54">
        <f>V38/V39</f>
        <v>0.28518515446800002</v>
      </c>
      <c r="W40" s="45"/>
    </row>
    <row r="41" spans="1:23">
      <c r="A41" s="45"/>
      <c r="B41" s="45"/>
      <c r="C41" s="45"/>
      <c r="D41" s="53"/>
      <c r="E41" s="53"/>
      <c r="F41" s="53"/>
      <c r="G41" s="53"/>
      <c r="H41" s="47"/>
      <c r="I41" s="53"/>
      <c r="J41" s="53"/>
      <c r="K41" s="53"/>
      <c r="L41" s="53"/>
      <c r="M41" s="48"/>
      <c r="N41" s="53"/>
      <c r="O41" s="53"/>
      <c r="P41" s="53"/>
      <c r="Q41" s="53"/>
      <c r="R41" s="48"/>
      <c r="S41" s="53"/>
      <c r="T41" s="53"/>
      <c r="U41" s="53"/>
      <c r="V41" s="53"/>
      <c r="W41" s="45"/>
    </row>
    <row r="42" spans="1:23">
      <c r="A42" s="45"/>
      <c r="B42" s="45"/>
      <c r="C42" s="45"/>
      <c r="D42" s="53"/>
      <c r="E42" s="53"/>
      <c r="F42" s="53"/>
      <c r="G42" s="53"/>
      <c r="H42" s="47"/>
      <c r="I42" s="53"/>
      <c r="J42" s="53"/>
      <c r="K42" s="53"/>
      <c r="L42" s="53"/>
      <c r="M42" s="48"/>
      <c r="N42" s="53"/>
      <c r="O42" s="53"/>
      <c r="P42" s="53"/>
      <c r="Q42" s="53"/>
      <c r="R42" s="48"/>
      <c r="S42" s="53"/>
      <c r="T42" s="53"/>
      <c r="U42" s="53"/>
      <c r="V42" s="53"/>
      <c r="W42" s="45"/>
    </row>
    <row r="43" spans="1:23">
      <c r="A43" s="45"/>
      <c r="B43" s="45"/>
      <c r="C43" s="11" t="s">
        <v>78</v>
      </c>
      <c r="D43" s="53">
        <f>D38</f>
        <v>0.91504397600000009</v>
      </c>
      <c r="E43" s="53">
        <f>E38</f>
        <v>0.947880999</v>
      </c>
      <c r="F43" s="53">
        <f>F38</f>
        <v>0.96217270799999999</v>
      </c>
      <c r="G43" s="53">
        <f>G38</f>
        <v>0.94937705699999986</v>
      </c>
      <c r="H43" s="47"/>
      <c r="I43" s="53">
        <f>I38</f>
        <v>0.8853637459999999</v>
      </c>
      <c r="J43" s="53">
        <f>J38</f>
        <v>0.81246519100000003</v>
      </c>
      <c r="K43" s="53">
        <f>K38</f>
        <v>0.74929103489999993</v>
      </c>
      <c r="L43" s="53">
        <f>L38</f>
        <v>0.69412174180000008</v>
      </c>
      <c r="M43" s="48"/>
      <c r="N43" s="53">
        <f>N38</f>
        <v>0.98579529299999991</v>
      </c>
      <c r="O43" s="53">
        <f>O38</f>
        <v>1.0220543639999999</v>
      </c>
      <c r="P43" s="53">
        <f>P38</f>
        <v>1.036785818</v>
      </c>
      <c r="Q43" s="53">
        <f>Q38</f>
        <v>1.0211927119999999</v>
      </c>
      <c r="R43" s="48"/>
      <c r="S43" s="53">
        <f>S38</f>
        <v>0.952665659</v>
      </c>
      <c r="T43" s="53">
        <f>T38</f>
        <v>0.87584953999999993</v>
      </c>
      <c r="U43" s="53">
        <f>U38</f>
        <v>0.80902223799999995</v>
      </c>
      <c r="V43" s="53">
        <f>V38</f>
        <v>0.75048724860000005</v>
      </c>
      <c r="W43" s="45"/>
    </row>
    <row r="44" spans="1:23">
      <c r="A44" s="45"/>
      <c r="B44" s="43" t="s">
        <v>32</v>
      </c>
      <c r="C44" s="11" t="s">
        <v>79</v>
      </c>
      <c r="D44" s="53">
        <f>D39*D34</f>
        <v>2.9542729666666672</v>
      </c>
      <c r="E44" s="53">
        <f>E39*E34</f>
        <v>3.0989350961538458</v>
      </c>
      <c r="F44" s="53">
        <f>F39*F34</f>
        <v>3.2010662914285715</v>
      </c>
      <c r="G44" s="53">
        <f>G39*G34</f>
        <v>3.2422085803333331</v>
      </c>
      <c r="H44" s="47"/>
      <c r="I44" s="53">
        <f>I39*I34</f>
        <v>3.1249999800174768</v>
      </c>
      <c r="J44" s="53">
        <f>J39*J34</f>
        <v>2.9411764503296585</v>
      </c>
      <c r="K44" s="53">
        <f>K39*K34</f>
        <v>2.7777777608619338</v>
      </c>
      <c r="L44" s="53">
        <f>L39*L34</f>
        <v>2.6315789337157236</v>
      </c>
      <c r="M44" s="48"/>
      <c r="N44" s="53">
        <f>N39*N34</f>
        <v>3.0263831666666672</v>
      </c>
      <c r="O44" s="53">
        <f>O39*O34</f>
        <v>3.1605228261538461</v>
      </c>
      <c r="P44" s="53">
        <f>P39*P34</f>
        <v>3.2430514614285717</v>
      </c>
      <c r="Q44" s="53">
        <f>Q39*Q34</f>
        <v>3.2566437233333332</v>
      </c>
      <c r="R44" s="48"/>
      <c r="S44" s="53">
        <f>S39*S34</f>
        <v>3.1249999397371031</v>
      </c>
      <c r="T44" s="53">
        <f>T39*T34</f>
        <v>2.9411764107522895</v>
      </c>
      <c r="U44" s="53">
        <f>U39*U34</f>
        <v>2.7777777285629126</v>
      </c>
      <c r="V44" s="53">
        <f>V39*V34</f>
        <v>2.6315789081704106</v>
      </c>
      <c r="W44" s="45"/>
    </row>
    <row r="45" spans="1:23" ht="15.5">
      <c r="A45" s="45"/>
      <c r="B45" s="11" t="s">
        <v>82</v>
      </c>
      <c r="C45" s="11" t="s">
        <v>81</v>
      </c>
      <c r="D45" s="54">
        <f>D43/D44</f>
        <v>0.30973575777340995</v>
      </c>
      <c r="E45" s="54">
        <f>E43/E44</f>
        <v>0.30587313692901646</v>
      </c>
      <c r="F45" s="54">
        <f>F43/F44</f>
        <v>0.30057881355859134</v>
      </c>
      <c r="G45" s="54">
        <f>G43/G44</f>
        <v>0.29281800768733823</v>
      </c>
      <c r="H45" s="47"/>
      <c r="I45" s="54">
        <f>I43/I44</f>
        <v>0.28331640053164048</v>
      </c>
      <c r="J45" s="54">
        <f>J43/J44</f>
        <v>0.27623816684270536</v>
      </c>
      <c r="K45" s="54">
        <f>K43/K44</f>
        <v>0.26974477420666576</v>
      </c>
      <c r="L45" s="54">
        <f>L43/L44</f>
        <v>0.26376626325242603</v>
      </c>
      <c r="M45" s="48"/>
      <c r="N45" s="54">
        <f>N43/N44</f>
        <v>0.32573380127731116</v>
      </c>
      <c r="O45" s="54">
        <f>O43/O44</f>
        <v>0.32338142143519166</v>
      </c>
      <c r="P45" s="54">
        <f>P43/P44</f>
        <v>0.31969453162586986</v>
      </c>
      <c r="Q45" s="54">
        <f>Q43/Q44</f>
        <v>0.31357213092832875</v>
      </c>
      <c r="R45" s="47"/>
      <c r="S45" s="54">
        <f>S43/S44</f>
        <v>0.30485301675882431</v>
      </c>
      <c r="T45" s="54">
        <f>T43/T44</f>
        <v>0.29778884965828228</v>
      </c>
      <c r="U45" s="54">
        <f>U43/U44</f>
        <v>0.29124801084014335</v>
      </c>
      <c r="V45" s="54">
        <f>V43/V44</f>
        <v>0.28518515871590255</v>
      </c>
      <c r="W45" s="45"/>
    </row>
    <row r="46" spans="1:23">
      <c r="A46" s="45"/>
      <c r="B46" s="45"/>
      <c r="C46" s="45"/>
      <c r="D46" s="53"/>
      <c r="E46" s="53"/>
      <c r="F46" s="53"/>
      <c r="G46" s="53"/>
      <c r="H46" s="47"/>
      <c r="I46" s="53"/>
      <c r="J46" s="53"/>
      <c r="K46" s="53"/>
      <c r="L46" s="53"/>
      <c r="M46" s="48"/>
      <c r="N46" s="53"/>
      <c r="O46" s="53"/>
      <c r="P46" s="53"/>
      <c r="Q46" s="53"/>
      <c r="R46" s="48"/>
      <c r="S46" s="53"/>
      <c r="T46" s="53"/>
      <c r="U46" s="53"/>
      <c r="V46" s="53"/>
      <c r="W46" s="45"/>
    </row>
    <row r="47" spans="1:23">
      <c r="A47" s="45"/>
      <c r="B47" s="45"/>
      <c r="C47" s="45"/>
      <c r="D47" s="53"/>
      <c r="E47" s="53"/>
      <c r="F47" s="53"/>
      <c r="G47" s="53"/>
      <c r="H47" s="47"/>
      <c r="I47" s="53"/>
      <c r="J47" s="53"/>
      <c r="K47" s="53"/>
      <c r="L47" s="53"/>
      <c r="M47" s="48"/>
      <c r="N47" s="53"/>
      <c r="O47" s="53"/>
      <c r="P47" s="53"/>
      <c r="Q47" s="53"/>
      <c r="R47" s="48"/>
      <c r="S47" s="53"/>
      <c r="T47" s="53"/>
      <c r="U47" s="53"/>
      <c r="V47" s="53"/>
      <c r="W47" s="45"/>
    </row>
    <row r="48" spans="1:23" ht="18.75" customHeight="1">
      <c r="A48" s="45"/>
      <c r="H48" s="47"/>
      <c r="I48" s="53"/>
      <c r="J48" s="53"/>
      <c r="K48" s="53"/>
      <c r="L48" s="53"/>
      <c r="M48" s="48"/>
      <c r="N48" s="53"/>
      <c r="O48" s="53"/>
      <c r="P48" s="53"/>
      <c r="Q48" s="53"/>
      <c r="R48" s="48"/>
      <c r="S48" s="53"/>
      <c r="T48" s="53"/>
      <c r="U48" s="53"/>
      <c r="V48" s="53"/>
      <c r="W48" s="45"/>
    </row>
    <row r="49" spans="1:23" ht="12.75" customHeight="1">
      <c r="A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>
      <c r="A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>
      <c r="A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>
      <c r="A52" s="45"/>
      <c r="H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ht="12.75" customHeight="1">
      <c r="A53" s="45"/>
      <c r="B53" s="1"/>
      <c r="C53" s="63" t="s">
        <v>84</v>
      </c>
      <c r="D53" s="63"/>
      <c r="E53" s="63"/>
      <c r="F53" s="63"/>
      <c r="G53" s="63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>
      <c r="A54" s="45"/>
      <c r="B54" s="45"/>
      <c r="C54" s="46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>
      <c r="A55" s="45"/>
      <c r="B55" s="45"/>
      <c r="C55" s="45">
        <v>1.0129999999999999</v>
      </c>
      <c r="D55" s="45">
        <v>2.0259999999999998</v>
      </c>
      <c r="E55" s="45">
        <v>3.0390000000000001</v>
      </c>
      <c r="F55" s="45">
        <v>4.0529999999999999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ht="13">
      <c r="A56" s="45"/>
      <c r="B56" s="1" t="s">
        <v>85</v>
      </c>
      <c r="C56" s="47">
        <f>D27</f>
        <v>0.12222040199999999</v>
      </c>
      <c r="D56" s="47">
        <f>E27</f>
        <v>0.126435193</v>
      </c>
      <c r="E56" s="47">
        <f>F27</f>
        <v>0.12812581200000001</v>
      </c>
      <c r="F56" s="47">
        <f>G27</f>
        <v>0.12616232399999999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ht="15">
      <c r="A57" s="45"/>
      <c r="B57" s="1" t="s">
        <v>86</v>
      </c>
      <c r="C57" s="48">
        <f>I27</f>
        <v>0.11743813399999999</v>
      </c>
      <c r="D57" s="48">
        <f>J27</f>
        <v>0.10762303100000001</v>
      </c>
      <c r="E57" s="48">
        <f>K27</f>
        <v>9.9134687900000018E-2</v>
      </c>
      <c r="F57" s="48">
        <f>L27</f>
        <v>9.1735187800000006E-2</v>
      </c>
      <c r="G57" s="45"/>
      <c r="I57" s="1" t="s">
        <v>87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ht="13">
      <c r="A58" s="45"/>
      <c r="B58" s="1" t="s">
        <v>88</v>
      </c>
      <c r="C58" s="48">
        <f>N27</f>
        <v>0.13231963099999999</v>
      </c>
      <c r="D58" s="48">
        <f>O27</f>
        <v>0.136986093</v>
      </c>
      <c r="E58" s="48">
        <f>P27</f>
        <v>0.13870779599999999</v>
      </c>
      <c r="F58" s="48">
        <f>Q27</f>
        <v>0.13632218100000001</v>
      </c>
      <c r="G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spans="1:23" ht="13">
      <c r="A59" s="45"/>
      <c r="B59" s="1" t="s">
        <v>89</v>
      </c>
      <c r="C59" s="48">
        <f>S27</f>
        <v>0.126927336</v>
      </c>
      <c r="D59" s="48">
        <f>T27</f>
        <v>0.116525328</v>
      </c>
      <c r="E59" s="48">
        <f>U27</f>
        <v>0.107496019</v>
      </c>
      <c r="F59" s="48">
        <f>V27</f>
        <v>9.9602390600000007E-2</v>
      </c>
      <c r="G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spans="1:23">
      <c r="A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>
      <c r="A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>
      <c r="A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>
      <c r="A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>
      <c r="A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>
      <c r="A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>
      <c r="A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>
      <c r="A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>
      <c r="A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>
      <c r="A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>
      <c r="A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>
      <c r="A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ht="13">
      <c r="A72" s="45"/>
      <c r="B72" s="1"/>
      <c r="C72" s="1" t="s">
        <v>90</v>
      </c>
      <c r="D72" s="45"/>
      <c r="E72" s="45"/>
      <c r="F72" s="45"/>
      <c r="G72" s="45"/>
      <c r="H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>
      <c r="A74" s="45"/>
      <c r="B74" s="45" t="s">
        <v>91</v>
      </c>
      <c r="C74" s="45">
        <v>1.0129999999999999</v>
      </c>
      <c r="D74" s="45">
        <v>2.0259999999999998</v>
      </c>
      <c r="E74" s="45">
        <v>3.0390000000000001</v>
      </c>
      <c r="F74" s="45">
        <v>4.0529999999999999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ht="13">
      <c r="A75" s="45"/>
      <c r="B75" s="1" t="s">
        <v>85</v>
      </c>
      <c r="C75" s="55">
        <f>D40</f>
        <v>0.21961055424000001</v>
      </c>
      <c r="D75" s="55">
        <f>E40</f>
        <v>0.24644905974000003</v>
      </c>
      <c r="E75" s="55">
        <f>F40</f>
        <v>0.26940835823999998</v>
      </c>
      <c r="F75" s="55">
        <f>G40</f>
        <v>0.28481311709999996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ht="15.5">
      <c r="A76" s="45"/>
      <c r="B76" s="1" t="s">
        <v>86</v>
      </c>
      <c r="C76" s="56">
        <f>I40</f>
        <v>0.28331639871999997</v>
      </c>
      <c r="D76" s="56">
        <f>J40</f>
        <v>0.27623816493999998</v>
      </c>
      <c r="E76" s="56">
        <f>K40</f>
        <v>0.26974477256399998</v>
      </c>
      <c r="F76" s="56">
        <f>L40</f>
        <v>0.26376626188400004</v>
      </c>
      <c r="G76" s="45"/>
      <c r="H76" s="45"/>
      <c r="I76" s="43" t="s">
        <v>80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ht="13">
      <c r="A77" s="45"/>
      <c r="B77" s="1" t="s">
        <v>88</v>
      </c>
      <c r="C77" s="56">
        <f>N40</f>
        <v>0.23659087031999995</v>
      </c>
      <c r="D77" s="56">
        <f>O40</f>
        <v>0.26573413464000001</v>
      </c>
      <c r="E77" s="56">
        <f>P40</f>
        <v>0.29030002904000002</v>
      </c>
      <c r="F77" s="56">
        <f>Q40</f>
        <v>0.30635781360000003</v>
      </c>
      <c r="G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ht="13">
      <c r="A78" s="45"/>
      <c r="B78" s="1" t="s">
        <v>89</v>
      </c>
      <c r="C78" s="56">
        <f>S40</f>
        <v>0.30485301088</v>
      </c>
      <c r="D78" s="56">
        <f>T40</f>
        <v>0.29778884359999996</v>
      </c>
      <c r="E78" s="56">
        <f>U40</f>
        <v>0.29124800567999998</v>
      </c>
      <c r="F78" s="56">
        <f>V40</f>
        <v>0.28518515446800002</v>
      </c>
      <c r="G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>
      <c r="A79" s="45"/>
      <c r="B79" s="45"/>
      <c r="C79" s="45"/>
      <c r="D79" s="45"/>
      <c r="E79" s="45"/>
      <c r="F79" s="45"/>
      <c r="G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>
      <c r="A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>
      <c r="A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>
      <c r="K82" s="45"/>
    </row>
    <row r="83" spans="1:23">
      <c r="K83" s="45"/>
    </row>
    <row r="84" spans="1:23">
      <c r="K84" s="45"/>
    </row>
    <row r="85" spans="1:23">
      <c r="K85" s="45"/>
    </row>
    <row r="86" spans="1:23">
      <c r="K86" s="45"/>
    </row>
    <row r="87" spans="1:23">
      <c r="K87" s="45"/>
    </row>
    <row r="88" spans="1:23">
      <c r="K88" s="45"/>
    </row>
    <row r="89" spans="1:23">
      <c r="K89" s="45"/>
    </row>
    <row r="90" spans="1:23">
      <c r="K90" s="45"/>
    </row>
    <row r="91" spans="1:23">
      <c r="K91" s="45"/>
    </row>
    <row r="92" spans="1:23">
      <c r="K92" s="45"/>
    </row>
    <row r="93" spans="1:23" ht="13">
      <c r="B93" s="1"/>
      <c r="C93" s="1" t="s">
        <v>92</v>
      </c>
      <c r="D93" s="45"/>
      <c r="E93" s="45"/>
      <c r="F93" s="45"/>
      <c r="G93" s="45"/>
      <c r="H93" s="45"/>
      <c r="I93" s="45"/>
      <c r="J93" s="45"/>
    </row>
    <row r="94" spans="1:23">
      <c r="B94" s="45"/>
      <c r="C94" s="45"/>
      <c r="D94" s="45"/>
      <c r="E94" s="45"/>
      <c r="F94" s="45"/>
      <c r="G94" s="45"/>
      <c r="H94" s="45"/>
      <c r="I94" s="45"/>
      <c r="J94" s="45"/>
    </row>
    <row r="95" spans="1:23">
      <c r="B95" s="45" t="s">
        <v>93</v>
      </c>
      <c r="C95" s="45">
        <v>1.0129999999999999</v>
      </c>
      <c r="D95" s="45">
        <v>2.0259999999999998</v>
      </c>
      <c r="E95" s="45">
        <v>3.0390000000000001</v>
      </c>
      <c r="F95" s="45">
        <v>4.0529999999999999</v>
      </c>
      <c r="G95" s="45"/>
      <c r="H95" s="45"/>
      <c r="I95" s="45"/>
      <c r="J95" s="45"/>
    </row>
    <row r="96" spans="1:23" ht="15.5">
      <c r="B96" s="1" t="s">
        <v>85</v>
      </c>
      <c r="C96" s="47">
        <f>D36</f>
        <v>1.0066437189430943</v>
      </c>
      <c r="D96" s="47">
        <f>E36</f>
        <v>1.0354912022003242</v>
      </c>
      <c r="E96" s="47">
        <f>F36</f>
        <v>1.07419619709415</v>
      </c>
      <c r="F96" s="47">
        <f>G36</f>
        <v>1.1288692652808141</v>
      </c>
      <c r="G96" s="45"/>
      <c r="H96" s="45"/>
      <c r="I96" s="45" t="s">
        <v>76</v>
      </c>
      <c r="J96" s="45"/>
    </row>
    <row r="97" spans="2:10" ht="13">
      <c r="B97" s="1" t="s">
        <v>86</v>
      </c>
      <c r="C97" s="48">
        <f>I36</f>
        <v>1.190072723737249</v>
      </c>
      <c r="D97" s="48">
        <f>J36</f>
        <v>1.2348095827184054</v>
      </c>
      <c r="E97" s="48">
        <f>K36</f>
        <v>1.2777547666037488</v>
      </c>
      <c r="F97" s="48">
        <f>L36</f>
        <v>1.3190875050456918</v>
      </c>
      <c r="G97" s="45"/>
      <c r="H97" s="45"/>
      <c r="I97" s="45" t="s">
        <v>94</v>
      </c>
      <c r="J97" s="45"/>
    </row>
    <row r="98" spans="2:10" ht="13">
      <c r="B98" s="1" t="s">
        <v>88</v>
      </c>
      <c r="C98" s="48">
        <f>N36</f>
        <v>0.90668504055909893</v>
      </c>
      <c r="D98" s="48">
        <f>O36</f>
        <v>0.93198533664289551</v>
      </c>
      <c r="E98" s="48">
        <f>P36</f>
        <v>0.96616415129254896</v>
      </c>
      <c r="F98" s="48">
        <f>Q36</f>
        <v>1.0140486235325121</v>
      </c>
      <c r="G98" s="45"/>
      <c r="H98" s="45"/>
      <c r="I98" s="45"/>
      <c r="J98" s="45"/>
    </row>
    <row r="99" spans="2:10" ht="13">
      <c r="B99" s="1" t="s">
        <v>89</v>
      </c>
      <c r="C99" s="48">
        <f>S36</f>
        <v>1.0665719006345489</v>
      </c>
      <c r="D99" s="48">
        <f>T36</f>
        <v>1.1054314303238864</v>
      </c>
      <c r="E99" s="48">
        <f>U36</f>
        <v>1.1428132980440886</v>
      </c>
      <c r="F99" s="48">
        <f>V36</f>
        <v>1.1788552392436251</v>
      </c>
      <c r="G99" s="45"/>
      <c r="H99" s="45"/>
      <c r="I99" s="45"/>
      <c r="J99" s="45"/>
    </row>
    <row r="100" spans="2:10"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2:10">
      <c r="B101" s="45"/>
      <c r="C101" s="45"/>
      <c r="D101" s="45"/>
      <c r="E101" s="45"/>
      <c r="F101" s="45"/>
      <c r="G101" s="45"/>
      <c r="H101" s="45"/>
      <c r="I101" s="45"/>
      <c r="J101" s="45"/>
    </row>
    <row r="107" spans="2:10">
      <c r="H107" s="45"/>
      <c r="I107" s="45"/>
      <c r="J107" s="45"/>
    </row>
    <row r="108" spans="2:10">
      <c r="H108" s="45"/>
      <c r="I108" s="45"/>
      <c r="J108" s="45"/>
    </row>
    <row r="109" spans="2:10">
      <c r="H109" s="45"/>
      <c r="I109" s="45"/>
      <c r="J109" s="45"/>
    </row>
    <row r="110" spans="2:10">
      <c r="H110" s="45"/>
      <c r="I110" s="45"/>
      <c r="J110" s="45"/>
    </row>
    <row r="111" spans="2:10">
      <c r="H111" s="45"/>
      <c r="I111" s="43"/>
      <c r="J111" s="45"/>
    </row>
    <row r="112" spans="2:10">
      <c r="H112" s="45"/>
      <c r="I112" s="45"/>
      <c r="J112" s="45"/>
    </row>
    <row r="113" spans="2:10" ht="13">
      <c r="B113" s="1"/>
      <c r="C113" s="1" t="s">
        <v>95</v>
      </c>
      <c r="D113" s="45"/>
      <c r="E113" s="45"/>
      <c r="F113" s="45"/>
      <c r="G113" s="45"/>
      <c r="H113" s="45"/>
      <c r="I113" s="45"/>
      <c r="J113" s="45"/>
    </row>
    <row r="114" spans="2:10">
      <c r="B114" s="45"/>
      <c r="C114" s="45"/>
      <c r="D114" s="45"/>
      <c r="E114" s="45"/>
      <c r="F114" s="45"/>
      <c r="G114" s="45"/>
    </row>
    <row r="115" spans="2:10">
      <c r="B115" s="45" t="s">
        <v>93</v>
      </c>
      <c r="C115" s="45">
        <v>1.0129999999999999</v>
      </c>
      <c r="D115" s="45">
        <v>2.0259999999999998</v>
      </c>
      <c r="E115" s="45">
        <v>3.0390000000000001</v>
      </c>
      <c r="F115" s="45">
        <v>4.0529999999999999</v>
      </c>
      <c r="G115" s="45"/>
    </row>
    <row r="116" spans="2:10" ht="13">
      <c r="B116" s="1" t="s">
        <v>85</v>
      </c>
      <c r="C116" s="57">
        <f>D34</f>
        <v>0.70902551200000008</v>
      </c>
      <c r="D116" s="57">
        <f>E34</f>
        <v>0.80572312499999998</v>
      </c>
      <c r="E116" s="57">
        <f>F34</f>
        <v>0.89629856159999999</v>
      </c>
      <c r="F116" s="57">
        <f>G34</f>
        <v>0.97266257410000001</v>
      </c>
      <c r="G116" s="45"/>
    </row>
    <row r="117" spans="2:10" ht="15.5">
      <c r="B117" s="1" t="s">
        <v>86</v>
      </c>
      <c r="C117" s="56">
        <f>I34</f>
        <v>0.99999999360559255</v>
      </c>
      <c r="D117" s="56">
        <f>J34</f>
        <v>0.99999999311208376</v>
      </c>
      <c r="E117" s="56">
        <f>K34</f>
        <v>0.99999999391029626</v>
      </c>
      <c r="F117" s="56">
        <f>L34</f>
        <v>0.9999999948119751</v>
      </c>
      <c r="G117" s="45"/>
      <c r="I117" s="43" t="s">
        <v>96</v>
      </c>
    </row>
    <row r="118" spans="2:10" ht="13">
      <c r="B118" s="1" t="s">
        <v>88</v>
      </c>
      <c r="C118" s="56">
        <f>N34</f>
        <v>0.72633196000000011</v>
      </c>
      <c r="D118" s="56">
        <f>O34</f>
        <v>0.82173593480000007</v>
      </c>
      <c r="E118" s="56">
        <f>P34</f>
        <v>0.90805440920000002</v>
      </c>
      <c r="F118" s="56">
        <f>Q34</f>
        <v>0.97699311700000002</v>
      </c>
      <c r="G118" s="45"/>
    </row>
    <row r="119" spans="2:10" ht="13">
      <c r="B119" s="1" t="s">
        <v>89</v>
      </c>
      <c r="C119" s="56">
        <f>S34</f>
        <v>0.99999998071587304</v>
      </c>
      <c r="D119" s="56">
        <f>T34</f>
        <v>0.99999997965577836</v>
      </c>
      <c r="E119" s="56">
        <f>U34</f>
        <v>0.99999998228264853</v>
      </c>
      <c r="F119" s="56">
        <f>V34</f>
        <v>0.99999998510475618</v>
      </c>
      <c r="G119" s="45"/>
    </row>
  </sheetData>
  <mergeCells count="1">
    <mergeCell ref="C53:G5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SFT</vt:lpstr>
      <vt:lpstr>Massa Cat X Temp</vt:lpstr>
      <vt:lpstr>Massa Cat  x Pressao 543K_583K </vt:lpstr>
      <vt:lpstr>H2_CO_583K _25kg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</cp:lastModifiedBy>
  <cp:revision>44</cp:revision>
  <cp:lastPrinted>2026-04-03T15:48:38Z</cp:lastPrinted>
  <dcterms:created xsi:type="dcterms:W3CDTF">2026-02-12T01:08:57Z</dcterms:created>
  <dcterms:modified xsi:type="dcterms:W3CDTF">2026-04-04T03:12:46Z</dcterms:modified>
  <dc:language>pt-BR</dc:language>
</cp:coreProperties>
</file>